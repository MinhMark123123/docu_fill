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hatnt1\Desktop\DINH GIA\NĂM 2026\THANG 032026\VU THI MONG VANG\THUA 327 328 329  TO 62\"/>
    </mc:Choice>
  </mc:AlternateContent>
  <bookViews>
    <workbookView xWindow="0" yWindow="0" windowWidth="24000" windowHeight="9330" activeTab="1"/>
  </bookViews>
  <sheets>
    <sheet name="De nghi tham dinh" sheetId="5" r:id="rId1"/>
    <sheet name="BC tham dinh" sheetId="2" r:id="rId2"/>
    <sheet name="Hinh anh TS" sheetId="6" r:id="rId3"/>
  </sheets>
  <definedNames>
    <definedName name="_xlnm.Print_Area" localSheetId="1">'BC tham dinh'!$A$1:$F$163</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1" i="2" l="1"/>
  <c r="F99" i="2" l="1"/>
  <c r="F93" i="2"/>
  <c r="E93" i="2"/>
  <c r="D79" i="2"/>
  <c r="D78" i="2"/>
  <c r="D93" i="2"/>
  <c r="E95" i="2" l="1"/>
  <c r="E79" i="2" l="1"/>
  <c r="D101" i="2" l="1"/>
  <c r="E97" i="2" l="1"/>
  <c r="E99" i="2" s="1"/>
  <c r="E101" i="2" l="1"/>
  <c r="E75" i="2" l="1"/>
  <c r="E76" i="2" l="1"/>
  <c r="D74" i="2"/>
  <c r="E74" i="2" l="1"/>
  <c r="E121" i="2"/>
  <c r="E122" i="2" s="1"/>
  <c r="F121" i="2" l="1"/>
  <c r="D121" i="2" l="1"/>
  <c r="D97" i="2" l="1"/>
  <c r="D99" i="2" s="1"/>
  <c r="I107" i="2" l="1"/>
  <c r="E73" i="2" l="1"/>
  <c r="E72" i="2"/>
  <c r="D84" i="2" l="1"/>
  <c r="D77" i="2"/>
  <c r="D122" i="2"/>
  <c r="F97" i="2"/>
  <c r="H107" i="2" l="1"/>
  <c r="D14" i="2" l="1"/>
  <c r="F101" i="2" l="1"/>
  <c r="J107" i="2" s="1"/>
  <c r="E78" i="2" l="1"/>
  <c r="E77" i="2" s="1"/>
  <c r="D71" i="2" l="1"/>
  <c r="D81" i="2" s="1"/>
  <c r="F130" i="2" l="1"/>
  <c r="C131" i="2" l="1"/>
  <c r="D80" i="2" s="1"/>
  <c r="E80" i="2" l="1"/>
  <c r="G107" i="2"/>
  <c r="F122" i="2" l="1"/>
  <c r="G122" i="2" l="1"/>
  <c r="C123" i="2"/>
  <c r="C124" i="2" s="1"/>
  <c r="C68" i="2" s="1"/>
  <c r="E71" i="2" s="1"/>
  <c r="E81" i="2" s="1"/>
  <c r="G81" i="2" s="1"/>
</calcChain>
</file>

<file path=xl/sharedStrings.xml><?xml version="1.0" encoding="utf-8"?>
<sst xmlns="http://schemas.openxmlformats.org/spreadsheetml/2006/main" count="257" uniqueCount="212">
  <si>
    <t>Có GCN</t>
  </si>
  <si>
    <t>TT</t>
  </si>
  <si>
    <t>Nội dung</t>
  </si>
  <si>
    <t>Tài sản thẩm định</t>
  </si>
  <si>
    <t>Tài sản so sánh 1</t>
  </si>
  <si>
    <t>Tài sản so sánh 2</t>
  </si>
  <si>
    <t>Tài sản so sánh 3</t>
  </si>
  <si>
    <t>Mô tả chi tiết tài sản</t>
  </si>
  <si>
    <t>Thời điểm giao dịch</t>
  </si>
  <si>
    <t>Đang rao bán</t>
  </si>
  <si>
    <t>A</t>
  </si>
  <si>
    <t>B</t>
  </si>
  <si>
    <t>C</t>
  </si>
  <si>
    <t>Điều chỉnh theo các yếu tố</t>
  </si>
  <si>
    <t>Tỷ lệ điều chỉnh</t>
  </si>
  <si>
    <t>Độ rộng mặt cắt ngõ</t>
  </si>
  <si>
    <t>Yếu tố khác</t>
  </si>
  <si>
    <t>E</t>
  </si>
  <si>
    <t>Tổng tỷ lệ điều chỉnh</t>
  </si>
  <si>
    <t>F</t>
  </si>
  <si>
    <t>G</t>
  </si>
  <si>
    <t>Giá tham khảo (đồng)</t>
  </si>
  <si>
    <t>Giá ước tính giao dịch thành công (đồng)</t>
  </si>
  <si>
    <t>Giá trị ts trên đất (đồng)</t>
  </si>
  <si>
    <t>Giá trị QSDĐ (đồng)</t>
  </si>
  <si>
    <t>Đơn giá sau điều chỉnh (đồng/m2)</t>
  </si>
  <si>
    <t>Khoản mục</t>
  </si>
  <si>
    <t>Theo đơn giá nhà nước</t>
  </si>
  <si>
    <t>Theo đơn giá thẩm định</t>
  </si>
  <si>
    <t>H</t>
  </si>
  <si>
    <t xml:space="preserve">BÁO CÁO THẨM ĐỊNH GIÁ TRỊ TÀI SẢN </t>
  </si>
  <si>
    <t>(Áp dụng cho TSBĐ là QSD đất và tài sản gắn liền trên đất)</t>
  </si>
  <si>
    <t>I. THÔNG TIN CHUNG</t>
  </si>
  <si>
    <t xml:space="preserve">- Chủ sở hữu tài sản: </t>
  </si>
  <si>
    <t xml:space="preserve">- Khách hàng vay:  </t>
  </si>
  <si>
    <t xml:space="preserve">- Thời gian phân hồ sơ: </t>
  </si>
  <si>
    <t xml:space="preserve">- Thời gian hoàn tất báo cáo thẩm định để ký: </t>
  </si>
  <si>
    <t>Làm cơ sở cấp tín dụng:</t>
  </si>
  <si>
    <t>X</t>
  </si>
  <si>
    <t>TSBĐ bổ sung/thay thế:</t>
  </si>
  <si>
    <t xml:space="preserve"> </t>
  </si>
  <si>
    <t>Cơ cấu nợ/Xử lý nợ:</t>
  </si>
  <si>
    <t>- Mục đích thẩm định:</t>
  </si>
  <si>
    <t>- Chi nhánh/Mã Chi nhánh: Bình Thuận                           Mã tài sản: //.</t>
  </si>
  <si>
    <t>II. MÔ TẢ VỀ BẤT ĐỘNG SẢN</t>
  </si>
  <si>
    <t>1. Vị trí bất động sản</t>
  </si>
  <si>
    <t>2. Chứng từ pháp lý</t>
  </si>
  <si>
    <t>3. Đặc điểm về bất động sản</t>
  </si>
  <si>
    <t>a. Về đất:</t>
  </si>
  <si>
    <t>III. KẾT QUẢ THẨM ĐỊNH:</t>
  </si>
  <si>
    <t xml:space="preserve">- Địa chỉ: </t>
  </si>
  <si>
    <t>Toạ độ tài sản:</t>
  </si>
  <si>
    <t>- Căn cứ Quyết định số: Căn cứ Quyết định số: 37/2019/QĐ-UBND ngày 20/12/2019 Ban hành bảng giá các loại đất định kỳ 5 năm (2020-2024) trên địa bàn tỉnh Bình Thuận</t>
  </si>
  <si>
    <t>Đơn giá Nhà nước:</t>
  </si>
  <si>
    <t>Đơn giá thẩm định:</t>
  </si>
  <si>
    <t>- Căn cứ theo Quyết định số: 520/2022/QĐ-TGĐ ngày 08/04/2022 Ban hành thẩm quyền phê duyệt kết quả định giá tài sản bảo đảm.</t>
  </si>
  <si>
    <t xml:space="preserve">- Đơn giá đất thẩm định đề xuất: </t>
  </si>
  <si>
    <t>Tổng trị giá tài sản (làm tròn):</t>
  </si>
  <si>
    <t>Bằng chữ:</t>
  </si>
  <si>
    <t>đồng</t>
  </si>
  <si>
    <t>ĐVT: đồng</t>
  </si>
  <si>
    <t>a. Giá trị bất động sản</t>
  </si>
  <si>
    <t>b. Giải thích phương pháp định giá:</t>
  </si>
  <si>
    <t>c. Định giá tài sản gắn liền trên đất:</t>
  </si>
  <si>
    <t>STT</t>
  </si>
  <si>
    <t>Hạng mục CTXD</t>
  </si>
  <si>
    <t>Đơn giá (VNĐ)</t>
  </si>
  <si>
    <t>Chất lượng còn lại (%)</t>
  </si>
  <si>
    <t>Giá trị thẩm định (VNĐ)</t>
  </si>
  <si>
    <t>(4 = 1x2x3)</t>
  </si>
  <si>
    <t>(1)</t>
  </si>
  <si>
    <t>(2)</t>
  </si>
  <si>
    <t>(3)</t>
  </si>
  <si>
    <t>IV. Ý KIẾN PHÒNG THẨM ĐỊNH</t>
  </si>
  <si>
    <t>- Tỷ lệ nhận tài sản bảo đảm theo quy định hiện hành của BAC A BANK và theo quy định của pháp luật.</t>
  </si>
  <si>
    <t>V. HÌNH ẢNH</t>
  </si>
  <si>
    <t>Tài sản so sánh 1:</t>
  </si>
  <si>
    <t>Tài sản so sánh 2:</t>
  </si>
  <si>
    <t>Tài sản so sánh 3:</t>
  </si>
  <si>
    <t>Trân trọng kính trình./.</t>
  </si>
  <si>
    <t>NGƯỜI THẨM ĐỊNH</t>
  </si>
  <si>
    <t>NGƯỜI PHÊ DUYỆT</t>
  </si>
  <si>
    <t>TRƯỞNG PHÒNG</t>
  </si>
  <si>
    <r>
      <t>1. Khách hàng:</t>
    </r>
    <r>
      <rPr>
        <sz val="12"/>
        <color rgb="FF000000"/>
        <rFont val="Times New Roman"/>
        <family val="1"/>
      </rPr>
      <t xml:space="preserve"> </t>
    </r>
  </si>
  <si>
    <t xml:space="preserve">- CCCD số: </t>
  </si>
  <si>
    <t>- Người liên hệ:</t>
  </si>
  <si>
    <t xml:space="preserve">- Người liên hệ: </t>
  </si>
  <si>
    <t>Lê Nguyên Vũ</t>
  </si>
  <si>
    <t>- Điện thoại:</t>
  </si>
  <si>
    <t xml:space="preserve">0252.368.6789 (EXT: 146)  </t>
  </si>
  <si>
    <t>- Di động: </t>
  </si>
  <si>
    <t>0777.907.007</t>
  </si>
  <si>
    <t>3. Tài sản yêu cầu tư vấn giá:</t>
  </si>
  <si>
    <t xml:space="preserve">- Điện thoại: </t>
  </si>
  <si>
    <t>- Mục đích: Cấp hạn mức tín dụng.</t>
  </si>
  <si>
    <t>- Công ty quản lý nợ và khai thác tài sản – Chi Nhánh Hồ Chí Minh (BACA AMC.HCM)</t>
  </si>
  <si>
    <t>BGĐ CHI NHÁNH</t>
  </si>
  <si>
    <t> CỘNG HOÀ XÃ HỘI CHỦ NGHĨA VIỆT NAM</t>
  </si>
  <si>
    <t>Độc lập – Tự do – Hạnh phúc</t>
  </si>
  <si>
    <t>GIẤY ĐỀ NGHỊ TÁI THẨM ĐỊNH GIÁ TÀI SẢN</t>
  </si>
  <si>
    <t>Căn cứ vào nhu cầu tái thẩm định giá tài sản đảm bảo phục vụ vay vốn tại Ngân Hàng Thương mại Cổ phần Bắc Á. Nay đề nghị Công ty quản lý và khai thác tài sản – Chi nhánh Hồ Chí Minh (BACA AMC.HCM), tư vấn giá các tài sản theo thông tin chi tiết sau:</t>
  </si>
  <si>
    <r>
      <t>-</t>
    </r>
    <r>
      <rPr>
        <b/>
        <sz val="12"/>
        <color rgb="FF000000"/>
        <rFont val="Times New Roman"/>
        <family val="1"/>
      </rPr>
      <t xml:space="preserve"> </t>
    </r>
    <r>
      <rPr>
        <sz val="12"/>
        <color rgb="FF000000"/>
        <rFont val="Times New Roman"/>
        <family val="1"/>
      </rPr>
      <t xml:space="preserve">Địa chỉ: </t>
    </r>
  </si>
  <si>
    <r>
      <t>4. Địa điểm tiến hành:</t>
    </r>
    <r>
      <rPr>
        <sz val="12"/>
        <color rgb="FF000000"/>
        <rFont val="Times New Roman"/>
        <family val="1"/>
      </rPr>
      <t> </t>
    </r>
  </si>
  <si>
    <r>
      <t>5. Thời điểm tư vấn giá</t>
    </r>
    <r>
      <rPr>
        <sz val="12"/>
        <color rgb="FF000000"/>
        <rFont val="Times New Roman"/>
        <family val="1"/>
      </rPr>
      <t>:</t>
    </r>
  </si>
  <si>
    <t>BAC A AMC</t>
  </si>
  <si>
    <t>Đã tiếp nhận giấy yêu cầu  </t>
  </si>
  <si>
    <t>ngày.......tháng....... năm ……</t>
  </si>
  <si>
    <t>Đơn giá (đồng/m2)</t>
  </si>
  <si>
    <t xml:space="preserve">Tài sản thẩm định:  </t>
  </si>
  <si>
    <t>Đơn giá bình quân (đồng/m2)</t>
  </si>
  <si>
    <t>Đơn giá lựa chọn (đồng/m2)</t>
  </si>
  <si>
    <t>Độ rộng mặt tiền: (m)</t>
  </si>
  <si>
    <t>Tổng diện tích (m2)</t>
  </si>
  <si>
    <t>đồng/m2</t>
  </si>
  <si>
    <t>- Căn cứ Quyết định số: 68/2024/QĐ-UBND về việc diều chỉnh Quyết định số 37/2019/QĐ-UBND ngày 20/12/2019 của Ủy ban nhân dân tỉnh về việc ban hành Quy định về Bảng giá các loại đất trên địa bàn tỉnh Bình Thuận</t>
  </si>
  <si>
    <t>5. Định giá bất động sản:</t>
  </si>
  <si>
    <t>- Khi cho vay Phòng kinh doanh/ Phòng giao dịch chịu trách nhiệm thực hiện đầy đủ thủ tục bảo đảm tiền vay theo quy định của BAC A BANK và theo quy định của pháp luật.</t>
  </si>
  <si>
    <t>2. Đơn vị cho vay: Ngân hàng TMCP Bắc Á – Chi Nhánh Bình Thuận (Phòng kinh doanh)</t>
  </si>
  <si>
    <t>Giá trị tài sản trên đất (làm tròn)</t>
  </si>
  <si>
    <t>- Tháng 07/2025</t>
  </si>
  <si>
    <t>203 Tôn Đức Thắng, P.Phú Thuỷ, Tỉnh Lâm Đồng</t>
  </si>
  <si>
    <t>Cấu trúc:</t>
  </si>
  <si>
    <t>+Số tầng: 1</t>
  </si>
  <si>
    <t>+Tường: Gạch</t>
  </si>
  <si>
    <t>- Số lượng mặt tiền: 01 mặt tiền.</t>
  </si>
  <si>
    <t xml:space="preserve">b. Về tài sản gắn liền với đất: </t>
  </si>
  <si>
    <t>- Hướng: Tây Nam</t>
  </si>
  <si>
    <t>+Mái: Tôn</t>
  </si>
  <si>
    <t>4. Khả năng tranh chấp: Chưa có dấu hiệu tranh chấp</t>
  </si>
  <si>
    <t>Trung bình</t>
  </si>
  <si>
    <t>Cân đối</t>
  </si>
  <si>
    <t>- Mối quan hệ giữa chủ tài sản và khách hàng vay: Chủ tài sản là khách hàng vay vốn</t>
  </si>
  <si>
    <t>Ông Nguyễn Quốc Tùng</t>
  </si>
  <si>
    <t xml:space="preserve"> Khu phố 9, phường Phú Trinh, TP Phan Thiết, tỉnh Bình Thuận
( Nay là Khu phố 9, phường Phan Thiết, tỉnh Lâm Đồng)</t>
  </si>
  <si>
    <t>060072010463</t>
  </si>
  <si>
    <t>do  Cục Trưởng Cục CS QLHC về TTXH cấp ngày 03/06/2021</t>
  </si>
  <si>
    <t>0969106150</t>
  </si>
  <si>
    <t>- Bất động sản: Thửa đất số 255, tờ bản đồ số 13; Địa chỉ thửa đất: Khu phố 9, phường Phú Trinh, TP Phan Thiết, Tỉnh Bình Thuận (Nay là Khu phố 9, phường Phan Thiết, tỉnh Lâm Đồng) .Chủ sở hữu: Ông Nguyễn Quốc Tùng</t>
  </si>
  <si>
    <t>- Địa chỉ tài sản: Khu phố 9, phường Phú Trinh, TP Phan Thiết, Tỉnh Bình Thuận (Nay là Khu phố 9, phường Phan Thiết, tỉnh Lâm Đồng).</t>
  </si>
  <si>
    <t>- Thửa đất số: 255</t>
  </si>
  <si>
    <t>- Tờ bản đồ số: 13</t>
  </si>
  <si>
    <t xml:space="preserve">- DTSD thực tế: 240 m2 </t>
  </si>
  <si>
    <t xml:space="preserve">- DTSD được công nhận: 240 m2 </t>
  </si>
  <si>
    <t>- Mục đích sử dụng đất: Đất ở tại đô thị</t>
  </si>
  <si>
    <t>- Nguồn gốc sử dụng đất: Nhận chuyển nhượng đất được nhà nước giao đất có thu tiền sử dụng đất.</t>
  </si>
  <si>
    <t xml:space="preserve">- Ghi chú: </t>
  </si>
  <si>
    <t>- Loại tài sản: nhà ở riêng lẻ</t>
  </si>
  <si>
    <t>- Năm xây dựng: -</t>
  </si>
  <si>
    <t>- Tiện nghi: Trung bình</t>
  </si>
  <si>
    <t>- Hình thức sở hữu riêng: Sở hữu riêng</t>
  </si>
  <si>
    <t>- Cấp (hạng): Cấp IV</t>
  </si>
  <si>
    <t>1. Quy hoạch sử dụng đất nơi bất động sản tọa lạc: Đất ở tại đô thị (theo app VN2000 Quy hoạch Bình Thuận)</t>
  </si>
  <si>
    <t>2. Mục đích sử dụng của bất động sản: Đất ở tại đô thị</t>
  </si>
  <si>
    <t>Chiều rộng (mặt tiền): 12.7 m</t>
  </si>
  <si>
    <t>Chiều dài: 22.18 m – 27.1 m</t>
  </si>
  <si>
    <t>Mặt hậu: 5.45 m</t>
  </si>
  <si>
    <t>- Thời hạn sử dụng đất: Lâu dài</t>
  </si>
  <si>
    <t>+Nền: Lát gạch hoa</t>
  </si>
  <si>
    <t xml:space="preserve">- BĐSTĐ có đơn giá chuẩn theo bảng giá Nhà nước: Đất ở tại đô thị toạ lạc tại đường Võ Văn Tần (cả con đường) có đơn giá: 18.000.000 đồng/m2. </t>
  </si>
  <si>
    <t>Nhà Cấp 4</t>
  </si>
  <si>
    <t>- Hình dáng thửa đất: Không cân đối</t>
  </si>
  <si>
    <t>Bình Thuận, ngày 30 tháng 07 năm 2025</t>
  </si>
  <si>
    <t>30/07/2025</t>
  </si>
  <si>
    <t>10.93489,108.09208</t>
  </si>
  <si>
    <t>Toạ độ: 10.93489,108.09208</t>
  </si>
  <si>
    <t xml:space="preserve">- BĐSTĐ nằm tọa lạc tại số nhà A17.18 Võ Văn Tần, đường nhựa rộng khoảng 7m. Cách đường chính Võ Văn Tần khoảng 80m, cách đường Hải Thượng Lãn Ông khoảng 170m, cách Nhà máy nước Phan Thiết khoảng 550m, khu vực dân cư đông đúc. </t>
  </si>
  <si>
    <t>Số: 191/2025/CNBT</t>
  </si>
  <si>
    <t>3. Khả năng chuyển nhượng: Khá</t>
  </si>
  <si>
    <t>LÀM TRÒN</t>
  </si>
  <si>
    <t>I</t>
  </si>
  <si>
    <r>
      <t xml:space="preserve">- Giấy chứng nhận Quyền sử dụng đất, quyền sở hữu nhà ở và tài sản khác gắn liền với đất ở </t>
    </r>
    <r>
      <rPr>
        <sz val="13"/>
        <color rgb="FFFF0000"/>
        <rFont val="Times New Roman"/>
        <family val="1"/>
      </rPr>
      <t>số CM 375218</t>
    </r>
    <r>
      <rPr>
        <sz val="13"/>
        <color theme="1"/>
        <rFont val="Times New Roman"/>
        <family val="1"/>
      </rPr>
      <t>, số vào sổ cấp GCN:</t>
    </r>
    <r>
      <rPr>
        <sz val="13"/>
        <color rgb="FFFF0000"/>
        <rFont val="Times New Roman"/>
        <family val="1"/>
      </rPr>
      <t xml:space="preserve"> CS 02784</t>
    </r>
    <r>
      <rPr>
        <sz val="13"/>
        <color theme="1"/>
        <rFont val="Times New Roman"/>
        <family val="1"/>
      </rPr>
      <t xml:space="preserve"> do Sở Tài Nguyên và Môi Trường tỉnh Bình Thuận cấp ngày </t>
    </r>
    <r>
      <rPr>
        <sz val="13"/>
        <color rgb="FFFF0000"/>
        <rFont val="Times New Roman"/>
        <family val="1"/>
      </rPr>
      <t>07/02/2018</t>
    </r>
    <r>
      <rPr>
        <sz val="13"/>
        <color theme="1"/>
        <rFont val="Times New Roman"/>
        <family val="1"/>
      </rPr>
      <t>. Chủ sở hữu là Ông Nguyễn Quốc Tùng.</t>
    </r>
  </si>
  <si>
    <r>
      <t xml:space="preserve">- Hình thức sử dụng đất: </t>
    </r>
    <r>
      <rPr>
        <sz val="13"/>
        <rFont val="Times New Roman"/>
        <family val="1"/>
      </rPr>
      <t>Sử dụng riêng</t>
    </r>
  </si>
  <si>
    <r>
      <t xml:space="preserve">- Độ rộng mặt đường/ngõ trước thửa đất: </t>
    </r>
    <r>
      <rPr>
        <sz val="13"/>
        <color rgb="FFFF0000"/>
        <rFont val="Times New Roman"/>
        <family val="1"/>
      </rPr>
      <t>Đường nhựa rộng khoảng 7m</t>
    </r>
  </si>
  <si>
    <r>
      <t>- Diện tích xây dựng: 117.5 m</t>
    </r>
    <r>
      <rPr>
        <vertAlign val="superscript"/>
        <sz val="13"/>
        <rFont val="Times New Roman"/>
        <family val="1"/>
      </rPr>
      <t>2</t>
    </r>
  </si>
  <si>
    <r>
      <t>- Diện tích sàn: 117.5 m</t>
    </r>
    <r>
      <rPr>
        <vertAlign val="superscript"/>
        <sz val="13"/>
        <rFont val="Times New Roman"/>
        <family val="1"/>
      </rPr>
      <t>2</t>
    </r>
  </si>
  <si>
    <r>
      <rPr>
        <b/>
        <u/>
        <sz val="13"/>
        <color rgb="FFFF0000"/>
        <rFont val="Times New Roman"/>
        <family val="1"/>
      </rPr>
      <t>**Ghi chú:</t>
    </r>
    <r>
      <rPr>
        <sz val="13"/>
        <color rgb="FFFF0000"/>
        <rFont val="Times New Roman"/>
        <family val="1"/>
      </rPr>
      <t xml:space="preserve"> </t>
    </r>
  </si>
  <si>
    <r>
      <t>Tổng diện tích đất (m</t>
    </r>
    <r>
      <rPr>
        <i/>
        <vertAlign val="superscript"/>
        <sz val="13"/>
        <color theme="1"/>
        <rFont val="Times New Roman"/>
        <family val="1"/>
      </rPr>
      <t>2</t>
    </r>
    <r>
      <rPr>
        <i/>
        <sz val="13"/>
        <color theme="1"/>
        <rFont val="Times New Roman"/>
        <family val="1"/>
      </rPr>
      <t>)</t>
    </r>
  </si>
  <si>
    <r>
      <t>Đơn giá đất (đồng/m</t>
    </r>
    <r>
      <rPr>
        <vertAlign val="superscript"/>
        <sz val="13"/>
        <color theme="1"/>
        <rFont val="Times New Roman"/>
        <family val="1"/>
      </rPr>
      <t>2</t>
    </r>
    <r>
      <rPr>
        <sz val="13"/>
        <color theme="1"/>
        <rFont val="Times New Roman"/>
        <family val="1"/>
      </rPr>
      <t>)</t>
    </r>
  </si>
  <si>
    <r>
      <t>Diện tích đất (m</t>
    </r>
    <r>
      <rPr>
        <vertAlign val="superscript"/>
        <sz val="13"/>
        <color theme="1"/>
        <rFont val="Times New Roman"/>
        <family val="1"/>
      </rPr>
      <t>2</t>
    </r>
    <r>
      <rPr>
        <sz val="13"/>
        <color theme="1"/>
        <rFont val="Times New Roman"/>
        <family val="1"/>
      </rPr>
      <t xml:space="preserve">)
</t>
    </r>
    <r>
      <rPr>
        <i/>
        <sz val="13"/>
        <color theme="1"/>
        <rFont val="Times New Roman"/>
        <family val="1"/>
      </rPr>
      <t>(chỉ tính diện tích đất cùng mục đích sử dụng với đất so sánh)</t>
    </r>
  </si>
  <si>
    <r>
      <t xml:space="preserve">Tình trạng pháp lý
</t>
    </r>
    <r>
      <rPr>
        <i/>
        <sz val="13"/>
        <color theme="1"/>
        <rFont val="Times New Roman"/>
        <family val="1"/>
      </rPr>
      <t>(Đã có Giấy chứng nhận/chưa có giấy chứng nhận)</t>
    </r>
  </si>
  <si>
    <r>
      <t xml:space="preserve">Hình dạng
</t>
    </r>
    <r>
      <rPr>
        <i/>
        <sz val="13"/>
        <color theme="1"/>
        <rFont val="Times New Roman"/>
        <family val="1"/>
      </rPr>
      <t>(Cân đối/không cân đôi)</t>
    </r>
  </si>
  <si>
    <r>
      <t xml:space="preserve">Khoảng cách ra đường phố chính.
</t>
    </r>
    <r>
      <rPr>
        <i/>
        <sz val="13"/>
        <color theme="1"/>
        <rFont val="Times New Roman"/>
        <family val="1"/>
      </rPr>
      <t>(nêu rõ tên đường phố chính tham chiếu nếu có)</t>
    </r>
  </si>
  <si>
    <r>
      <t xml:space="preserve">Khả năng kinh doanh 
</t>
    </r>
    <r>
      <rPr>
        <i/>
        <sz val="13"/>
        <color theme="1"/>
        <rFont val="Times New Roman"/>
        <family val="1"/>
      </rPr>
      <t>(có/không khả năng sử dụng làm cửa hàng, văn phòng)</t>
    </r>
  </si>
  <si>
    <r>
      <t xml:space="preserve">Môi trường kinh tế xã hội
</t>
    </r>
    <r>
      <rPr>
        <i/>
        <sz val="13"/>
        <color theme="1"/>
        <rFont val="Times New Roman"/>
        <family val="1"/>
      </rPr>
      <t>(thuận lợi giao thông/hạ tầng kỹ thuật/gần trung tâm/trình độ dân trí/an ninh trật tự...)</t>
    </r>
  </si>
  <si>
    <r>
      <t>Diện tích (m</t>
    </r>
    <r>
      <rPr>
        <b/>
        <vertAlign val="superscript"/>
        <sz val="13"/>
        <color theme="1"/>
        <rFont val="Times New Roman"/>
        <family val="1"/>
      </rPr>
      <t>2</t>
    </r>
    <r>
      <rPr>
        <b/>
        <sz val="13"/>
        <color theme="1"/>
        <rFont val="Times New Roman"/>
        <family val="1"/>
      </rPr>
      <t>)</t>
    </r>
  </si>
  <si>
    <r>
      <t xml:space="preserve">- Phòng Thẩm định - Chi nhánh Bình Thuận đề xuất Giá trị Quyền sử dụng đất, quyền sở hữu nhà ở nêu trên là: </t>
    </r>
    <r>
      <rPr>
        <b/>
        <sz val="13"/>
        <color rgb="FFFF0000"/>
        <rFont val="Times New Roman"/>
        <family val="1"/>
      </rPr>
      <t>4.622.000.000 đồng</t>
    </r>
  </si>
  <si>
    <r>
      <t xml:space="preserve">(Bằng chữ: </t>
    </r>
    <r>
      <rPr>
        <b/>
        <sz val="13"/>
        <color rgb="FFFF0000"/>
        <rFont val="Times New Roman"/>
        <family val="1"/>
      </rPr>
      <t>Bốn tỷ, sáu trăm hai mươi hai triệu đồng.</t>
    </r>
    <r>
      <rPr>
        <b/>
        <sz val="13"/>
        <color theme="1"/>
        <rFont val="Times New Roman"/>
        <family val="1"/>
      </rPr>
      <t>)</t>
    </r>
  </si>
  <si>
    <t xml:space="preserve">     </t>
  </si>
  <si>
    <t>Chiều sâu</t>
  </si>
  <si>
    <t>3. Giá trị quyền sử dụng đất thuộc hành lang bảo vệ an toàn công trình giao thông</t>
  </si>
  <si>
    <t>4.Giá trị tài sản nhà ở</t>
  </si>
  <si>
    <t>5. Tổng giá trị = (1) + (2) +(3) + (4)</t>
  </si>
  <si>
    <t xml:space="preserve">1. Giá trị quyền sử dụng đất ONT </t>
  </si>
  <si>
    <t>Mặt tiền đường đất</t>
  </si>
  <si>
    <t>Bình Thuận, ngày 09 tháng 02năm 2026</t>
  </si>
  <si>
    <t>Khu vực thưa dân cư</t>
  </si>
  <si>
    <t>Liên hệ trực tiếp: Anh Long 0909382019</t>
  </si>
  <si>
    <t>'Mặt tiền đường đất</t>
  </si>
  <si>
    <t xml:space="preserve"> Mặt tiền đường đất rộng # 6m. Cách đường DT 781B # 2,2 km, cách đường QL 22B # 3,2 km</t>
  </si>
  <si>
    <t>Liên hệ trực tiếp: Anh Hiền 0907439383</t>
  </si>
  <si>
    <t>Mặt  tiền đường đất rộng # 5m. Cách đường QL 22B # 2,5 km</t>
  </si>
  <si>
    <t>2. Giá trị quyền sử dụng đất HNK</t>
  </si>
  <si>
    <t>Liên hệ trực tiếp: Chị Hà 0786599299</t>
  </si>
  <si>
    <t>'Mặt  tiền đường đất rộng # 5m. Cách đường QL 22B # 2,5 km</t>
  </si>
  <si>
    <r>
      <t>Bán nhà đất tại Xã Tân Phong, Huyện Tân Biên, Tỉnh Tây Ninh ( nay là Xã Thạnh Bình, Tỉnh Tây Ninh), tọa lạc tại mặt tiền đường đất 5m.</t>
    </r>
    <r>
      <rPr>
        <sz val="13"/>
        <color rgb="FFFF0000"/>
        <rFont val="Times New Roman"/>
        <family val="1"/>
      </rPr>
      <t xml:space="preserve"> </t>
    </r>
    <r>
      <rPr>
        <sz val="13"/>
        <rFont val="Times New Roman"/>
        <family val="1"/>
      </rPr>
      <t>BĐS cách TSTĐ # 2,8 km. Cách đường QL 22B # 2,5 km. Diện tích:
320 m2 (ngang 10m x dài 32m). trong đó:  Đất CLN: 320 m2</t>
    </r>
  </si>
  <si>
    <t xml:space="preserve">  </t>
  </si>
  <si>
    <r>
      <t>Bán đất tại Xã Tân Phong, Huyện Tân Biên, Tỉnh Tây Ninh ( nay là Xã Thạnh Bình, Tỉnh Tây Ninh), tọa lạc tại mặt tiền đường đất rộng R # 5 m.</t>
    </r>
    <r>
      <rPr>
        <sz val="13"/>
        <color rgb="FFFF0000"/>
        <rFont val="Times New Roman"/>
        <family val="1"/>
      </rPr>
      <t xml:space="preserve"> BĐS cách TSTĐ # 2,6 km</t>
    </r>
    <r>
      <rPr>
        <sz val="13"/>
        <rFont val="Times New Roman"/>
        <family val="1"/>
      </rPr>
      <t>. Cách đường QL 22B # 2,5 km . Diện tích:
190 m2 (ngang 5m x dài 38m). trong đó: Đất CHN: 190 m2</t>
    </r>
  </si>
  <si>
    <r>
      <t xml:space="preserve">Bán đất tại Ấp Bàu Đưng, Xã Tân Phong, Huyện Tân Biên, Tỉnh Tây Ninh ( nay là Xã Thạnh Bình, Tỉnh Tây Ninh), tọa lạc tại mặt tiền đường đất rộng R # 5 m. </t>
    </r>
    <r>
      <rPr>
        <sz val="13"/>
        <color rgb="FFFF0000"/>
        <rFont val="Times New Roman"/>
        <family val="1"/>
      </rPr>
      <t>BĐS cách TSTĐ # 3,6km</t>
    </r>
    <r>
      <rPr>
        <sz val="13"/>
        <rFont val="Times New Roman"/>
        <family val="1"/>
      </rPr>
      <t>. Cách đường QL 22B # 2,5 km.  Diện tích:
195 m2 (ngang 5m x dài 39m). trong đó: Đất CHN: 195 m2</t>
    </r>
  </si>
  <si>
    <t xml:space="preserve"> Số: 31/2026/BCĐG-CNBT</t>
  </si>
  <si>
    <t>Một trăm mười triệu đồng.</t>
  </si>
  <si>
    <r>
      <t xml:space="preserve">Đất ở tại Thửa đất số: 327, 328, 329  Tờ bản đồ số: 62, mặt tiền đường đất rộng R # 6m. Địa chỉ: Ấp Gò Cát, Xã Tân Phong, Huyện Tân Biên, Tỉnh Tây Ninh ( nay là Xã Thạnh Bình, Tỉnh Tây Ninh). Diện tích:
221,2 m2 (ngang 5 m - 5 m x dài 44,93 m - 44,98 m)
Toạ độ: </t>
    </r>
    <r>
      <rPr>
        <sz val="13"/>
        <color rgb="FFFF0000"/>
        <rFont val="Times New Roman"/>
        <family val="1"/>
      </rPr>
      <t>11.4797778,106.0511667</t>
    </r>
  </si>
  <si>
    <t>44,90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</si>
</sst>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1" formatCode="_(* #,##0_);_(* \(#,##0\);_(* &quot;-&quot;_);_(@_)"/>
    <numFmt numFmtId="43" formatCode="_(* #,##0.00_);_(* \(#,##0.00\);_(* &quot;-&quot;??_);_(@_)"/>
    <numFmt numFmtId="164" formatCode="_(* #,##0_);_(* \(#,##0\);_(* &quot;-&quot;??_);_(@_)"/>
    <numFmt numFmtId="165" formatCode="_(* #,##0.0_);_(* \(#,##0.0\);_(* &quot;-&quot;??_);_(@_)"/>
    <numFmt numFmtId="166" formatCode="_(* #,##0.0_);_(* \(#,##0.0\);_(* &quot;-&quot;?_);_(@_)"/>
    <numFmt numFmtId="167" formatCode="0.0000"/>
    <numFmt numFmtId="168" formatCode="_-* #.##0.0\ _₫_-;\-* #.##0.0\ _₫_-;_-* &quot;-&quot;?\ _₫_-;_-@_-"/>
    <numFmt numFmtId="169" formatCode="_-* #.##0.0000\ _₫_-;\-* #.##0.0000\ _₫_-;_-* &quot;-&quot;????\ _₫_-;_-@_-"/>
    <numFmt numFmtId="170" formatCode="_(* #.0_);_(* \(#.0\);_(* &quot;-&quot;_);_(@_)"/>
  </numFmts>
  <fonts count="27" x14ac:knownFonts="1">
    <font>
      <sz val="11"/>
      <color theme="1"/>
      <name val="Calibri"/>
      <family val="2"/>
      <scheme val="minor"/>
    </font>
    <font>
      <sz val="11"/>
      <color theme="1"/>
      <name val="Calibri"/>
      <family val="2"/>
      <scheme val="minor"/>
    </font>
    <font>
      <sz val="12"/>
      <color rgb="FF000000"/>
      <name val="Times New Roman"/>
      <family val="1"/>
    </font>
    <font>
      <b/>
      <sz val="12"/>
      <color rgb="FF000000"/>
      <name val="Times New Roman"/>
      <family val="1"/>
    </font>
    <font>
      <i/>
      <sz val="12"/>
      <color rgb="FF000000"/>
      <name val="Times New Roman"/>
      <family val="1"/>
    </font>
    <font>
      <sz val="10"/>
      <name val="Arial"/>
      <family val="2"/>
    </font>
    <font>
      <sz val="12"/>
      <color theme="1"/>
      <name val="Times New Roman"/>
      <family val="1"/>
    </font>
    <font>
      <b/>
      <sz val="12"/>
      <color theme="1"/>
      <name val="Times New Roman"/>
      <family val="1"/>
    </font>
    <font>
      <b/>
      <sz val="11"/>
      <color rgb="FF081C36"/>
      <name val="Times New Roman"/>
      <family val="1"/>
    </font>
    <font>
      <sz val="12"/>
      <color rgb="FFFF0000"/>
      <name val="Times New Roman"/>
      <family val="1"/>
    </font>
    <font>
      <sz val="13"/>
      <color theme="1"/>
      <name val="Times New Roman"/>
      <family val="1"/>
    </font>
    <font>
      <b/>
      <sz val="13"/>
      <color theme="1"/>
      <name val="Times New Roman"/>
      <family val="1"/>
    </font>
    <font>
      <i/>
      <sz val="13"/>
      <color theme="1"/>
      <name val="Times New Roman"/>
      <family val="1"/>
    </font>
    <font>
      <b/>
      <sz val="13"/>
      <color rgb="FFFF0000"/>
      <name val="Times New Roman"/>
      <family val="1"/>
    </font>
    <font>
      <sz val="13"/>
      <color rgb="FFFF0000"/>
      <name val="Times New Roman"/>
      <family val="1"/>
    </font>
    <font>
      <sz val="13"/>
      <name val="Times New Roman"/>
      <family val="1"/>
    </font>
    <font>
      <sz val="13"/>
      <color indexed="8"/>
      <name val="Times New Roman"/>
      <family val="1"/>
    </font>
    <font>
      <b/>
      <sz val="13"/>
      <color indexed="8"/>
      <name val="Times New Roman"/>
      <family val="1"/>
    </font>
    <font>
      <b/>
      <sz val="13"/>
      <name val="Times New Roman"/>
      <family val="1"/>
    </font>
    <font>
      <sz val="13"/>
      <name val="Calibri"/>
      <family val="2"/>
      <scheme val="minor"/>
    </font>
    <font>
      <vertAlign val="superscript"/>
      <sz val="13"/>
      <name val="Times New Roman"/>
      <family val="1"/>
    </font>
    <font>
      <b/>
      <u/>
      <sz val="13"/>
      <color rgb="FFFF0000"/>
      <name val="Times New Roman"/>
      <family val="1"/>
    </font>
    <font>
      <b/>
      <u/>
      <sz val="13"/>
      <color theme="1"/>
      <name val="Times New Roman"/>
      <family val="1"/>
    </font>
    <font>
      <i/>
      <vertAlign val="superscript"/>
      <sz val="13"/>
      <color theme="1"/>
      <name val="Times New Roman"/>
      <family val="1"/>
    </font>
    <font>
      <vertAlign val="superscript"/>
      <sz val="13"/>
      <color theme="1"/>
      <name val="Times New Roman"/>
      <family val="1"/>
    </font>
    <font>
      <b/>
      <vertAlign val="superscript"/>
      <sz val="13"/>
      <color theme="1"/>
      <name val="Times New Roman"/>
      <family val="1"/>
    </font>
    <font>
      <i/>
      <sz val="13"/>
      <name val="Times New Roman"/>
      <family val="1"/>
    </font>
  </fonts>
  <fills count="4">
    <fill>
      <patternFill patternType="none"/>
    </fill>
    <fill>
      <patternFill patternType="gray125"/>
    </fill>
    <fill>
      <patternFill patternType="solid">
        <fgColor rgb="FFD9D9D9"/>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s>
  <cellStyleXfs count="7">
    <xf numFmtId="0" fontId="0" fillId="0" borderId="0"/>
    <xf numFmtId="43" fontId="1" fillId="0" borderId="0" applyFont="0" applyFill="0" applyBorder="0" applyAlignment="0" applyProtection="0"/>
    <xf numFmtId="0" fontId="5" fillId="0" borderId="0"/>
    <xf numFmtId="9" fontId="5" fillId="0" borderId="0" applyFill="0" applyBorder="0" applyAlignment="0" applyProtection="0"/>
    <xf numFmtId="0" fontId="5" fillId="0" borderId="0"/>
    <xf numFmtId="41" fontId="1" fillId="0" borderId="0" applyFont="0" applyFill="0" applyBorder="0" applyAlignment="0" applyProtection="0"/>
    <xf numFmtId="9" fontId="1" fillId="0" borderId="0" applyFont="0" applyFill="0" applyBorder="0" applyAlignment="0" applyProtection="0"/>
  </cellStyleXfs>
  <cellXfs count="210">
    <xf numFmtId="0" fontId="0" fillId="0" borderId="0" xfId="0"/>
    <xf numFmtId="0" fontId="2" fillId="0" borderId="0" xfId="0" applyFont="1"/>
    <xf numFmtId="0" fontId="3" fillId="0" borderId="0" xfId="0" applyFont="1"/>
    <xf numFmtId="0" fontId="6" fillId="0" borderId="0" xfId="0" applyFont="1"/>
    <xf numFmtId="0" fontId="7" fillId="0" borderId="0" xfId="0" applyFont="1"/>
    <xf numFmtId="0" fontId="6" fillId="0" borderId="0" xfId="0" quotePrefix="1" applyFont="1"/>
    <xf numFmtId="0" fontId="7" fillId="0" borderId="0" xfId="0" quotePrefix="1" applyFont="1"/>
    <xf numFmtId="0" fontId="3" fillId="0" borderId="0" xfId="0" applyFont="1" applyAlignment="1">
      <alignment horizontal="justify" vertical="center"/>
    </xf>
    <xf numFmtId="0" fontId="2" fillId="0" borderId="0" xfId="0" quotePrefix="1" applyFont="1" applyAlignment="1">
      <alignment vertical="center"/>
    </xf>
    <xf numFmtId="0" fontId="2" fillId="0" borderId="0" xfId="0" quotePrefix="1" applyFont="1"/>
    <xf numFmtId="0" fontId="3" fillId="0" borderId="0" xfId="0" applyFont="1" applyAlignment="1">
      <alignment vertical="center"/>
    </xf>
    <xf numFmtId="0" fontId="3" fillId="0" borderId="0" xfId="0" applyFont="1" applyAlignment="1">
      <alignment horizontal="center"/>
    </xf>
    <xf numFmtId="0" fontId="4" fillId="0" borderId="0" xfId="0" applyFont="1" applyAlignment="1">
      <alignment horizontal="center"/>
    </xf>
    <xf numFmtId="0" fontId="8" fillId="0" borderId="0" xfId="0" quotePrefix="1" applyFont="1"/>
    <xf numFmtId="0" fontId="6" fillId="0" borderId="0" xfId="0" quotePrefix="1" applyFont="1" applyAlignment="1">
      <alignment horizontal="left"/>
    </xf>
    <xf numFmtId="0" fontId="6" fillId="0" borderId="0" xfId="0" applyFont="1" applyAlignment="1">
      <alignment horizontal="right"/>
    </xf>
    <xf numFmtId="0" fontId="3" fillId="0" borderId="0" xfId="0" quotePrefix="1" applyFont="1"/>
    <xf numFmtId="0" fontId="6" fillId="0" borderId="0" xfId="0" quotePrefix="1" applyFont="1" applyAlignment="1">
      <alignment horizontal="left" vertical="center"/>
    </xf>
    <xf numFmtId="0" fontId="10" fillId="0" borderId="0" xfId="0" applyFont="1"/>
    <xf numFmtId="0" fontId="11" fillId="0" borderId="0" xfId="2" applyFont="1" applyBorder="1" applyAlignment="1">
      <alignment vertical="center" wrapText="1"/>
    </xf>
    <xf numFmtId="0" fontId="12" fillId="0" borderId="0" xfId="2" applyFont="1" applyBorder="1" applyAlignment="1">
      <alignment vertical="center"/>
    </xf>
    <xf numFmtId="0" fontId="11" fillId="0" borderId="0" xfId="2" applyFont="1" applyAlignment="1">
      <alignment horizontal="left"/>
    </xf>
    <xf numFmtId="0" fontId="11" fillId="0" borderId="0" xfId="2" applyFont="1" applyBorder="1" applyAlignment="1">
      <alignment horizontal="center" vertical="center" wrapText="1"/>
    </xf>
    <xf numFmtId="0" fontId="10" fillId="0" borderId="0" xfId="2" applyFont="1"/>
    <xf numFmtId="0" fontId="10" fillId="0" borderId="0" xfId="2" quotePrefix="1" applyFont="1" applyAlignment="1">
      <alignment horizontal="left"/>
    </xf>
    <xf numFmtId="0" fontId="10" fillId="0" borderId="0" xfId="2" applyFont="1" applyAlignment="1">
      <alignment horizontal="left"/>
    </xf>
    <xf numFmtId="0" fontId="10" fillId="0" borderId="0" xfId="2" applyFont="1" applyFill="1" applyAlignment="1">
      <alignment horizontal="left"/>
    </xf>
    <xf numFmtId="0" fontId="10" fillId="0" borderId="0" xfId="2" applyFont="1" applyFill="1"/>
    <xf numFmtId="14" fontId="10" fillId="0" borderId="0" xfId="2" applyNumberFormat="1" applyFont="1" applyAlignment="1">
      <alignment horizontal="left"/>
    </xf>
    <xf numFmtId="0" fontId="13" fillId="0" borderId="0" xfId="2" applyFont="1" applyAlignment="1">
      <alignment horizontal="left"/>
    </xf>
    <xf numFmtId="0" fontId="14" fillId="0" borderId="0" xfId="2" applyFont="1" applyAlignment="1">
      <alignment horizontal="left"/>
    </xf>
    <xf numFmtId="0" fontId="10" fillId="0" borderId="0" xfId="2" quotePrefix="1" applyFont="1" applyAlignment="1">
      <alignment wrapText="1"/>
    </xf>
    <xf numFmtId="0" fontId="15" fillId="0" borderId="0" xfId="2" applyFont="1" applyBorder="1" applyAlignment="1">
      <alignment vertical="center" wrapText="1"/>
    </xf>
    <xf numFmtId="0" fontId="15" fillId="0" borderId="0" xfId="2" applyFont="1"/>
    <xf numFmtId="14" fontId="10" fillId="0" borderId="0" xfId="2" applyNumberFormat="1" applyFont="1" applyFill="1" applyAlignment="1">
      <alignment horizontal="left"/>
    </xf>
    <xf numFmtId="0" fontId="11" fillId="0" borderId="0" xfId="2" applyFont="1" applyFill="1" applyBorder="1" applyAlignment="1">
      <alignment horizontal="center" vertical="center" wrapText="1"/>
    </xf>
    <xf numFmtId="0" fontId="11" fillId="0" borderId="0" xfId="2" applyFont="1"/>
    <xf numFmtId="0" fontId="16" fillId="0" borderId="0" xfId="2" quotePrefix="1" applyFont="1"/>
    <xf numFmtId="0" fontId="16" fillId="0" borderId="0" xfId="2" applyFont="1"/>
    <xf numFmtId="0" fontId="17" fillId="0" borderId="0" xfId="2" applyFont="1" applyBorder="1" applyAlignment="1">
      <alignment horizontal="center" vertical="center" wrapText="1"/>
    </xf>
    <xf numFmtId="14" fontId="16" fillId="0" borderId="0" xfId="2" applyNumberFormat="1" applyFont="1" applyAlignment="1">
      <alignment horizontal="left"/>
    </xf>
    <xf numFmtId="0" fontId="17" fillId="0" borderId="0" xfId="2" applyFont="1"/>
    <xf numFmtId="14" fontId="15" fillId="0" borderId="0" xfId="2" applyNumberFormat="1" applyFont="1" applyAlignment="1">
      <alignment horizontal="left"/>
    </xf>
    <xf numFmtId="0" fontId="18" fillId="0" borderId="0" xfId="2" applyFont="1" applyBorder="1" applyAlignment="1">
      <alignment horizontal="center" vertical="center" wrapText="1"/>
    </xf>
    <xf numFmtId="0" fontId="19" fillId="0" borderId="0" xfId="0" applyFont="1"/>
    <xf numFmtId="0" fontId="15" fillId="0" borderId="0" xfId="0" applyFont="1" applyAlignment="1">
      <alignment horizontal="left" vertical="center" indent="5"/>
    </xf>
    <xf numFmtId="0" fontId="14" fillId="0" borderId="0" xfId="0" applyFont="1"/>
    <xf numFmtId="0" fontId="14" fillId="0" borderId="0" xfId="2" applyFont="1"/>
    <xf numFmtId="0" fontId="15" fillId="0" borderId="0" xfId="0" quotePrefix="1" applyFont="1"/>
    <xf numFmtId="165" fontId="15" fillId="0" borderId="0" xfId="1" applyNumberFormat="1" applyFont="1" applyAlignment="1">
      <alignment horizontal="left"/>
    </xf>
    <xf numFmtId="0" fontId="15" fillId="0" borderId="0" xfId="0" applyFont="1"/>
    <xf numFmtId="0" fontId="16" fillId="0" borderId="0" xfId="2" quotePrefix="1" applyFont="1" applyAlignment="1">
      <alignment horizontal="left"/>
    </xf>
    <xf numFmtId="0" fontId="15" fillId="0" borderId="0" xfId="2" quotePrefix="1" applyFont="1" applyAlignment="1">
      <alignment horizontal="left"/>
    </xf>
    <xf numFmtId="0" fontId="14" fillId="0" borderId="0" xfId="2" quotePrefix="1" applyFont="1" applyAlignment="1">
      <alignment horizontal="left"/>
    </xf>
    <xf numFmtId="0" fontId="16" fillId="0" borderId="0" xfId="2" applyFont="1" applyAlignment="1">
      <alignment horizontal="center" vertical="top"/>
    </xf>
    <xf numFmtId="14" fontId="10" fillId="0" borderId="0" xfId="2" applyNumberFormat="1" applyFont="1" applyAlignment="1">
      <alignment horizontal="left" wrapText="1"/>
    </xf>
    <xf numFmtId="0" fontId="10" fillId="0" borderId="0" xfId="2" applyFont="1" applyAlignment="1">
      <alignment wrapText="1"/>
    </xf>
    <xf numFmtId="0" fontId="18" fillId="0" borderId="0" xfId="2" applyFont="1"/>
    <xf numFmtId="0" fontId="15" fillId="0" borderId="0" xfId="0" quotePrefix="1" applyFont="1" applyAlignment="1">
      <alignment horizontal="left" vertical="center"/>
    </xf>
    <xf numFmtId="0" fontId="15" fillId="0" borderId="0" xfId="0" applyFont="1" applyAlignment="1">
      <alignment vertical="center"/>
    </xf>
    <xf numFmtId="14" fontId="15" fillId="0" borderId="0" xfId="2" applyNumberFormat="1" applyFont="1" applyAlignment="1">
      <alignment horizontal="left" wrapText="1"/>
    </xf>
    <xf numFmtId="0" fontId="15" fillId="0" borderId="0" xfId="2" applyFont="1" applyAlignment="1">
      <alignment wrapText="1"/>
    </xf>
    <xf numFmtId="0" fontId="11" fillId="0" borderId="0" xfId="2" applyFont="1" applyFill="1"/>
    <xf numFmtId="0" fontId="11" fillId="0" borderId="0" xfId="2" applyFont="1" applyFill="1" applyAlignment="1">
      <alignment horizontal="left"/>
    </xf>
    <xf numFmtId="14" fontId="15" fillId="0" borderId="0" xfId="2" applyNumberFormat="1" applyFont="1" applyAlignment="1">
      <alignment horizontal="left" vertical="center"/>
    </xf>
    <xf numFmtId="0" fontId="15" fillId="0" borderId="0" xfId="2" applyFont="1" applyAlignment="1">
      <alignment vertical="center"/>
    </xf>
    <xf numFmtId="0" fontId="18" fillId="0" borderId="0" xfId="2" applyFont="1" applyFill="1"/>
    <xf numFmtId="0" fontId="15" fillId="0" borderId="0" xfId="0" applyFont="1" applyFill="1"/>
    <xf numFmtId="0" fontId="10" fillId="0" borderId="0" xfId="0" applyFont="1" applyFill="1"/>
    <xf numFmtId="0" fontId="22" fillId="0" borderId="0" xfId="2" applyFont="1" applyFill="1"/>
    <xf numFmtId="0" fontId="22" fillId="0" borderId="0" xfId="0" applyFont="1" applyFill="1"/>
    <xf numFmtId="0" fontId="15" fillId="0" borderId="0" xfId="2" quotePrefix="1" applyFont="1" applyFill="1"/>
    <xf numFmtId="3" fontId="15" fillId="0" borderId="0" xfId="0" applyNumberFormat="1" applyFont="1" applyFill="1"/>
    <xf numFmtId="43" fontId="10" fillId="0" borderId="0" xfId="1" applyFont="1"/>
    <xf numFmtId="43" fontId="10" fillId="0" borderId="0" xfId="0" applyNumberFormat="1" applyFont="1" applyFill="1"/>
    <xf numFmtId="43" fontId="10" fillId="0" borderId="0" xfId="0" applyNumberFormat="1" applyFont="1"/>
    <xf numFmtId="164" fontId="10" fillId="0" borderId="0" xfId="0" applyNumberFormat="1" applyFont="1"/>
    <xf numFmtId="9" fontId="10" fillId="0" borderId="0" xfId="6" applyFont="1"/>
    <xf numFmtId="166" fontId="10" fillId="0" borderId="0" xfId="0" applyNumberFormat="1" applyFont="1"/>
    <xf numFmtId="166" fontId="10" fillId="0" borderId="0" xfId="0" applyNumberFormat="1" applyFont="1" applyFill="1"/>
    <xf numFmtId="164" fontId="10" fillId="0" borderId="0" xfId="1" applyNumberFormat="1" applyFont="1"/>
    <xf numFmtId="0" fontId="10" fillId="0" borderId="0" xfId="0" applyFont="1" applyFill="1" applyAlignment="1">
      <alignment vertical="center"/>
    </xf>
    <xf numFmtId="0" fontId="10" fillId="0" borderId="0" xfId="0" applyFont="1" applyAlignment="1">
      <alignment vertical="center"/>
    </xf>
    <xf numFmtId="164" fontId="10" fillId="0" borderId="0" xfId="0" applyNumberFormat="1" applyFont="1" applyFill="1"/>
    <xf numFmtId="0" fontId="10" fillId="0" borderId="0" xfId="0" applyFont="1" applyFill="1" applyAlignment="1">
      <alignment horizontal="right"/>
    </xf>
    <xf numFmtId="0" fontId="13" fillId="0" borderId="0" xfId="0" applyFont="1" applyFill="1"/>
    <xf numFmtId="0" fontId="11" fillId="0" borderId="0" xfId="0" applyFont="1" applyFill="1"/>
    <xf numFmtId="168" fontId="10" fillId="0" borderId="0" xfId="0" applyNumberFormat="1" applyFont="1" applyFill="1"/>
    <xf numFmtId="0" fontId="11" fillId="0" borderId="1" xfId="0" applyFont="1" applyFill="1" applyBorder="1" applyAlignment="1">
      <alignment horizontal="center" vertical="center" wrapText="1"/>
    </xf>
    <xf numFmtId="169" fontId="10" fillId="0" borderId="0" xfId="0" applyNumberFormat="1" applyFont="1" applyFill="1"/>
    <xf numFmtId="0" fontId="10" fillId="0" borderId="1" xfId="0" applyFont="1" applyFill="1" applyBorder="1" applyAlignment="1">
      <alignment horizontal="justify" vertical="center" wrapText="1"/>
    </xf>
    <xf numFmtId="0" fontId="10" fillId="0" borderId="1" xfId="0" applyFont="1" applyFill="1" applyBorder="1" applyAlignment="1">
      <alignment horizontal="center" vertical="center" wrapText="1"/>
    </xf>
    <xf numFmtId="0" fontId="10" fillId="0" borderId="1" xfId="0" quotePrefix="1" applyFont="1" applyFill="1" applyBorder="1" applyAlignment="1">
      <alignment horizontal="center" vertical="center" wrapText="1"/>
    </xf>
    <xf numFmtId="0" fontId="12"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167" fontId="10" fillId="0" borderId="0" xfId="0" applyNumberFormat="1" applyFont="1" applyFill="1"/>
    <xf numFmtId="9" fontId="10" fillId="0" borderId="0" xfId="6" applyFont="1" applyFill="1"/>
    <xf numFmtId="164" fontId="11" fillId="0" borderId="1" xfId="1" applyNumberFormat="1" applyFont="1" applyFill="1" applyBorder="1" applyAlignment="1">
      <alignment vertical="center" wrapText="1"/>
    </xf>
    <xf numFmtId="0" fontId="11" fillId="0" borderId="0" xfId="0" applyFont="1"/>
    <xf numFmtId="0" fontId="11"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0" xfId="0" applyFont="1" applyBorder="1" applyAlignment="1">
      <alignment horizontal="center" vertical="center" wrapText="1"/>
    </xf>
    <xf numFmtId="0" fontId="13" fillId="0" borderId="0" xfId="0" quotePrefix="1" applyFont="1"/>
    <xf numFmtId="0" fontId="11" fillId="0" borderId="0" xfId="0" applyFont="1" applyAlignment="1">
      <alignment vertical="top"/>
    </xf>
    <xf numFmtId="0" fontId="11" fillId="0" borderId="0" xfId="0" applyFont="1" applyAlignment="1">
      <alignment vertical="center"/>
    </xf>
    <xf numFmtId="0" fontId="10" fillId="0" borderId="0" xfId="0" applyFont="1" applyAlignment="1">
      <alignment horizontal="center"/>
    </xf>
    <xf numFmtId="0" fontId="10" fillId="0" borderId="1" xfId="0" applyFont="1" applyFill="1" applyBorder="1" applyAlignment="1">
      <alignment horizontal="center" vertical="center" wrapText="1"/>
    </xf>
    <xf numFmtId="0" fontId="11" fillId="0" borderId="0" xfId="2" applyFont="1" applyFill="1" applyBorder="1" applyAlignment="1">
      <alignment vertical="center" wrapText="1"/>
    </xf>
    <xf numFmtId="0" fontId="15" fillId="0" borderId="1" xfId="0" applyFont="1" applyFill="1" applyBorder="1" applyAlignment="1">
      <alignment horizontal="left" vertical="top" wrapText="1"/>
    </xf>
    <xf numFmtId="0" fontId="12" fillId="0" borderId="1" xfId="0" quotePrefix="1" applyFont="1" applyFill="1" applyBorder="1" applyAlignment="1">
      <alignment horizontal="center" vertical="center" wrapText="1"/>
    </xf>
    <xf numFmtId="0" fontId="14" fillId="0" borderId="0" xfId="0" applyFont="1" applyFill="1"/>
    <xf numFmtId="14" fontId="11" fillId="0" borderId="0" xfId="2" quotePrefix="1" applyNumberFormat="1" applyFont="1" applyFill="1" applyAlignment="1">
      <alignment horizontal="left"/>
    </xf>
    <xf numFmtId="0" fontId="17" fillId="0" borderId="0" xfId="2" applyFont="1" applyFill="1" applyAlignment="1">
      <alignment horizontal="left"/>
    </xf>
    <xf numFmtId="0" fontId="15" fillId="0" borderId="0" xfId="2" applyFont="1" applyFill="1"/>
    <xf numFmtId="0" fontId="19" fillId="0" borderId="0" xfId="0" applyFont="1" applyFill="1"/>
    <xf numFmtId="0" fontId="18" fillId="0" borderId="0" xfId="2" applyFont="1" applyFill="1" applyAlignment="1">
      <alignment horizontal="left"/>
    </xf>
    <xf numFmtId="0" fontId="15" fillId="0" borderId="0" xfId="0" quotePrefix="1" applyFont="1" applyFill="1"/>
    <xf numFmtId="0" fontId="15" fillId="0" borderId="0" xfId="0" quotePrefix="1" applyFont="1" applyFill="1" applyAlignment="1">
      <alignment horizontal="left" vertical="center"/>
    </xf>
    <xf numFmtId="0" fontId="10" fillId="0" borderId="4" xfId="0" applyFont="1" applyFill="1" applyBorder="1" applyAlignment="1">
      <alignment horizontal="center" vertical="center" wrapText="1"/>
    </xf>
    <xf numFmtId="164" fontId="11" fillId="0" borderId="2" xfId="1" applyNumberFormat="1" applyFont="1" applyFill="1" applyBorder="1" applyAlignment="1">
      <alignment vertical="center" wrapText="1"/>
    </xf>
    <xf numFmtId="164" fontId="11" fillId="0" borderId="0" xfId="1" applyNumberFormat="1" applyFont="1" applyFill="1" applyBorder="1" applyAlignment="1">
      <alignment vertical="center" wrapText="1"/>
    </xf>
    <xf numFmtId="0" fontId="10" fillId="0" borderId="1" xfId="0" quotePrefix="1" applyFont="1" applyFill="1" applyBorder="1" applyAlignment="1">
      <alignment horizontal="center" vertical="top" wrapText="1"/>
    </xf>
    <xf numFmtId="0" fontId="18"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11" fillId="0" borderId="1" xfId="2" applyFont="1" applyFill="1" applyBorder="1" applyAlignment="1">
      <alignment horizontal="center"/>
    </xf>
    <xf numFmtId="0" fontId="11" fillId="0" borderId="0" xfId="2" applyFont="1" applyFill="1" applyBorder="1" applyAlignment="1">
      <alignment horizontal="center"/>
    </xf>
    <xf numFmtId="0" fontId="17" fillId="0" borderId="0" xfId="2" applyFont="1" applyFill="1" applyBorder="1" applyAlignment="1">
      <alignment horizontal="center"/>
    </xf>
    <xf numFmtId="0" fontId="14" fillId="0" borderId="0" xfId="0" applyFont="1" applyFill="1" applyAlignment="1">
      <alignment horizontal="left" vertical="center"/>
    </xf>
    <xf numFmtId="0" fontId="18" fillId="0" borderId="0" xfId="2" applyFont="1" applyFill="1" applyBorder="1" applyAlignment="1">
      <alignment horizontal="center"/>
    </xf>
    <xf numFmtId="43" fontId="15" fillId="0" borderId="0" xfId="1" applyFont="1" applyFill="1"/>
    <xf numFmtId="164" fontId="11" fillId="0" borderId="1" xfId="1" applyNumberFormat="1" applyFont="1" applyFill="1" applyBorder="1" applyAlignment="1">
      <alignment horizontal="center" vertical="center" wrapText="1"/>
    </xf>
    <xf numFmtId="170" fontId="10" fillId="0" borderId="1" xfId="5" applyNumberFormat="1" applyFont="1" applyFill="1" applyBorder="1" applyAlignment="1">
      <alignment horizontal="center" vertical="center" wrapText="1"/>
    </xf>
    <xf numFmtId="43" fontId="10" fillId="0" borderId="1" xfId="1" applyFont="1" applyFill="1" applyBorder="1" applyAlignment="1">
      <alignment horizontal="center" vertical="center" wrapText="1"/>
    </xf>
    <xf numFmtId="164" fontId="11" fillId="0" borderId="0" xfId="0" applyNumberFormat="1" applyFont="1" applyFill="1" applyAlignment="1">
      <alignment horizontal="left" vertical="center"/>
    </xf>
    <xf numFmtId="164" fontId="10" fillId="0" borderId="1" xfId="0" applyNumberFormat="1" applyFont="1" applyFill="1" applyBorder="1" applyAlignment="1">
      <alignment horizontal="center" vertical="center" wrapText="1"/>
    </xf>
    <xf numFmtId="9" fontId="10"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9" fontId="15" fillId="0" borderId="1" xfId="0" applyNumberFormat="1" applyFont="1" applyFill="1" applyBorder="1" applyAlignment="1">
      <alignment horizontal="center" vertical="center" wrapText="1"/>
    </xf>
    <xf numFmtId="9" fontId="11" fillId="0" borderId="1" xfId="0" applyNumberFormat="1" applyFont="1" applyFill="1" applyBorder="1" applyAlignment="1">
      <alignment horizontal="center" vertical="center" wrapText="1"/>
    </xf>
    <xf numFmtId="0" fontId="11" fillId="0" borderId="1" xfId="0" applyFont="1" applyFill="1" applyBorder="1" applyAlignment="1">
      <alignment horizontal="left" vertical="center" wrapText="1"/>
    </xf>
    <xf numFmtId="164" fontId="10" fillId="0" borderId="4" xfId="1" applyNumberFormat="1" applyFont="1" applyFill="1" applyBorder="1" applyAlignment="1">
      <alignment horizontal="center" vertical="center" wrapText="1"/>
    </xf>
    <xf numFmtId="0" fontId="11" fillId="0" borderId="5" xfId="0" applyFont="1" applyFill="1" applyBorder="1" applyAlignment="1">
      <alignment vertical="center" wrapText="1"/>
    </xf>
    <xf numFmtId="0" fontId="11" fillId="0" borderId="0" xfId="0" applyFont="1" applyFill="1" applyBorder="1" applyAlignment="1">
      <alignment vertical="center" wrapText="1"/>
    </xf>
    <xf numFmtId="0" fontId="10" fillId="0" borderId="0" xfId="2" applyFont="1" applyFill="1" applyBorder="1" applyAlignment="1">
      <alignment horizontal="left"/>
    </xf>
    <xf numFmtId="0" fontId="16" fillId="0" borderId="0" xfId="2" applyFont="1" applyFill="1" applyBorder="1" applyAlignment="1">
      <alignment horizontal="left"/>
    </xf>
    <xf numFmtId="0" fontId="17" fillId="0" borderId="0" xfId="2" applyFont="1" applyFill="1" applyBorder="1" applyAlignment="1">
      <alignment horizontal="center" vertical="center" wrapText="1"/>
    </xf>
    <xf numFmtId="0" fontId="13" fillId="0" borderId="0" xfId="2" applyFont="1" applyFill="1" applyBorder="1" applyAlignment="1">
      <alignment horizontal="center" vertical="center" wrapText="1"/>
    </xf>
    <xf numFmtId="0" fontId="14" fillId="0" borderId="0" xfId="2" applyFont="1" applyFill="1"/>
    <xf numFmtId="0" fontId="15" fillId="0" borderId="0" xfId="2" applyFont="1" applyFill="1" applyBorder="1" applyAlignment="1">
      <alignment horizontal="left"/>
    </xf>
    <xf numFmtId="0" fontId="18" fillId="0" borderId="0" xfId="2" applyFont="1" applyFill="1" applyBorder="1" applyAlignment="1">
      <alignment horizontal="center" vertical="center" wrapText="1"/>
    </xf>
    <xf numFmtId="0" fontId="12" fillId="0" borderId="0" xfId="0" applyFont="1" applyFill="1" applyAlignment="1">
      <alignment horizontal="right"/>
    </xf>
    <xf numFmtId="164" fontId="10" fillId="0" borderId="0" xfId="1" applyNumberFormat="1" applyFont="1" applyFill="1"/>
    <xf numFmtId="41" fontId="10" fillId="0" borderId="0" xfId="0" applyNumberFormat="1" applyFont="1" applyFill="1"/>
    <xf numFmtId="0" fontId="11" fillId="0" borderId="0" xfId="0" applyFont="1" applyFill="1" applyAlignment="1">
      <alignment vertical="center"/>
    </xf>
    <xf numFmtId="9" fontId="10" fillId="0" borderId="4" xfId="6" applyFont="1" applyFill="1" applyBorder="1" applyAlignment="1">
      <alignment horizontal="center" vertical="center" wrapText="1"/>
    </xf>
    <xf numFmtId="164" fontId="10" fillId="0" borderId="4"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3" xfId="0" applyFont="1" applyFill="1" applyBorder="1" applyAlignment="1">
      <alignment vertical="center" wrapText="1"/>
    </xf>
    <xf numFmtId="0" fontId="11" fillId="0" borderId="1" xfId="0" applyFont="1" applyFill="1" applyBorder="1" applyAlignment="1">
      <alignment horizontal="center" vertical="center" wrapText="1"/>
    </xf>
    <xf numFmtId="164" fontId="10" fillId="0" borderId="1" xfId="1" applyNumberFormat="1" applyFont="1" applyFill="1" applyBorder="1" applyAlignment="1">
      <alignment horizontal="center" vertical="center" wrapText="1"/>
    </xf>
    <xf numFmtId="0" fontId="10" fillId="0" borderId="0" xfId="2" applyFont="1" applyFill="1"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left" vertical="center"/>
    </xf>
    <xf numFmtId="0" fontId="2" fillId="0" borderId="0" xfId="0" quotePrefix="1" applyFont="1" applyAlignment="1">
      <alignment horizontal="left" vertical="top" wrapText="1"/>
    </xf>
    <xf numFmtId="0" fontId="6" fillId="0" borderId="0" xfId="0" applyFont="1" applyAlignment="1">
      <alignment horizontal="left" wrapText="1"/>
    </xf>
    <xf numFmtId="0" fontId="3" fillId="0" borderId="0" xfId="0" applyFont="1" applyAlignment="1">
      <alignment horizontal="center" vertical="center"/>
    </xf>
    <xf numFmtId="0" fontId="9" fillId="0" borderId="0" xfId="0" applyFont="1" applyAlignment="1">
      <alignment horizontal="center" vertical="center"/>
    </xf>
    <xf numFmtId="0" fontId="2" fillId="0" borderId="0" xfId="0" applyFont="1" applyAlignment="1">
      <alignment horizontal="left" vertical="center" wrapText="1"/>
    </xf>
    <xf numFmtId="0" fontId="15" fillId="0" borderId="0" xfId="0" quotePrefix="1" applyFont="1" applyAlignment="1">
      <alignment horizontal="left"/>
    </xf>
    <xf numFmtId="0" fontId="11" fillId="3" borderId="0" xfId="0" applyFont="1" applyFill="1" applyAlignment="1">
      <alignment horizontal="center"/>
    </xf>
    <xf numFmtId="0" fontId="12" fillId="3" borderId="0" xfId="0" applyFont="1" applyFill="1" applyAlignment="1">
      <alignment horizontal="center"/>
    </xf>
    <xf numFmtId="0" fontId="10" fillId="0" borderId="0" xfId="2" quotePrefix="1" applyFont="1" applyFill="1" applyBorder="1" applyAlignment="1">
      <alignment horizontal="left" vertical="center" wrapText="1"/>
    </xf>
    <xf numFmtId="0" fontId="10" fillId="0" borderId="0" xfId="2" quotePrefix="1" applyFont="1" applyBorder="1" applyAlignment="1">
      <alignment horizontal="left" vertical="center" wrapText="1"/>
    </xf>
    <xf numFmtId="0" fontId="11" fillId="0" borderId="0" xfId="2" quotePrefix="1" applyFont="1" applyFill="1" applyBorder="1" applyAlignment="1">
      <alignment horizontal="left" vertical="center" wrapText="1"/>
    </xf>
    <xf numFmtId="0" fontId="11" fillId="0" borderId="0" xfId="0" applyFont="1" applyAlignment="1">
      <alignment horizontal="left" vertical="center"/>
    </xf>
    <xf numFmtId="0" fontId="10" fillId="0" borderId="0" xfId="0" applyFont="1" applyAlignment="1">
      <alignment horizontal="center"/>
    </xf>
    <xf numFmtId="0" fontId="11" fillId="0" borderId="0" xfId="0" applyFont="1" applyAlignment="1">
      <alignment horizontal="center"/>
    </xf>
    <xf numFmtId="0" fontId="18" fillId="0" borderId="0" xfId="2" applyFont="1" applyFill="1" applyAlignment="1">
      <alignment horizontal="left" vertical="center" wrapText="1"/>
    </xf>
    <xf numFmtId="0" fontId="12" fillId="0" borderId="1" xfId="0" applyFont="1" applyFill="1" applyBorder="1" applyAlignment="1">
      <alignment horizontal="center" vertical="center" wrapText="1"/>
    </xf>
    <xf numFmtId="0" fontId="10" fillId="0" borderId="1" xfId="0" applyFont="1" applyFill="1" applyBorder="1" applyAlignment="1">
      <alignment horizontal="justify" vertical="center" wrapText="1"/>
    </xf>
    <xf numFmtId="0" fontId="10" fillId="0" borderId="1" xfId="0" applyFont="1" applyFill="1" applyBorder="1" applyAlignment="1">
      <alignment horizontal="center" vertical="center" wrapText="1"/>
    </xf>
    <xf numFmtId="0" fontId="13" fillId="0" borderId="0" xfId="0" applyFont="1" applyAlignment="1">
      <alignment horizontal="left" vertical="center" wrapText="1"/>
    </xf>
    <xf numFmtId="0" fontId="11" fillId="0" borderId="0" xfId="2" applyFont="1" applyAlignment="1">
      <alignment horizontal="left" wrapText="1"/>
    </xf>
    <xf numFmtId="0" fontId="11" fillId="0" borderId="2" xfId="0" applyFont="1" applyFill="1" applyBorder="1" applyAlignment="1">
      <alignment vertical="center" wrapText="1"/>
    </xf>
    <xf numFmtId="0" fontId="11" fillId="0" borderId="3" xfId="0" applyFont="1" applyFill="1" applyBorder="1" applyAlignment="1">
      <alignment vertical="center" wrapText="1"/>
    </xf>
    <xf numFmtId="0" fontId="10" fillId="0" borderId="2" xfId="0" applyFont="1" applyFill="1" applyBorder="1" applyAlignment="1">
      <alignment vertical="center" wrapText="1"/>
    </xf>
    <xf numFmtId="0" fontId="10" fillId="0" borderId="3" xfId="0" applyFont="1" applyFill="1" applyBorder="1" applyAlignment="1">
      <alignment vertical="center" wrapText="1"/>
    </xf>
    <xf numFmtId="0" fontId="11" fillId="0" borderId="1" xfId="0" applyFont="1" applyFill="1" applyBorder="1" applyAlignment="1">
      <alignment vertical="center" wrapText="1"/>
    </xf>
    <xf numFmtId="0" fontId="14" fillId="0" borderId="0" xfId="2" quotePrefix="1" applyFont="1" applyFill="1" applyBorder="1" applyAlignment="1">
      <alignment horizontal="left" vertical="center" wrapText="1"/>
    </xf>
    <xf numFmtId="0" fontId="15" fillId="0" borderId="0" xfId="2" quotePrefix="1" applyFont="1" applyFill="1" applyAlignment="1">
      <alignment horizontal="left" vertical="top" wrapText="1"/>
    </xf>
    <xf numFmtId="0" fontId="11" fillId="0" borderId="1" xfId="0" applyFont="1" applyFill="1" applyBorder="1" applyAlignment="1">
      <alignment horizontal="center" vertical="center" wrapText="1"/>
    </xf>
    <xf numFmtId="164" fontId="10" fillId="0" borderId="1" xfId="1" applyNumberFormat="1" applyFont="1" applyFill="1" applyBorder="1" applyAlignment="1">
      <alignment horizontal="center" vertical="center" wrapText="1"/>
    </xf>
    <xf numFmtId="0" fontId="11" fillId="0" borderId="2" xfId="0" applyFont="1" applyFill="1" applyBorder="1" applyAlignment="1">
      <alignment horizontal="left" vertical="center" wrapText="1"/>
    </xf>
    <xf numFmtId="0" fontId="11" fillId="0" borderId="3" xfId="0" applyFont="1" applyFill="1" applyBorder="1" applyAlignment="1">
      <alignment horizontal="left" vertical="center" wrapText="1"/>
    </xf>
    <xf numFmtId="0" fontId="11" fillId="0" borderId="0" xfId="2" applyFont="1" applyBorder="1" applyAlignment="1">
      <alignment horizontal="center" vertical="center" wrapText="1"/>
    </xf>
    <xf numFmtId="0" fontId="12" fillId="0" borderId="0" xfId="2" applyFont="1" applyBorder="1" applyAlignment="1">
      <alignment horizontal="center" vertical="center"/>
    </xf>
    <xf numFmtId="0" fontId="12" fillId="0" borderId="0" xfId="2" applyFont="1" applyFill="1" applyBorder="1" applyAlignment="1">
      <alignment horizontal="center" vertical="center"/>
    </xf>
    <xf numFmtId="0" fontId="10" fillId="0" borderId="0" xfId="2" quotePrefix="1" applyFont="1" applyFill="1" applyAlignment="1">
      <alignment horizontal="left"/>
    </xf>
    <xf numFmtId="0" fontId="10" fillId="0" borderId="0" xfId="2" applyFont="1" applyFill="1" applyAlignment="1">
      <alignment horizontal="left"/>
    </xf>
    <xf numFmtId="0" fontId="14" fillId="0" borderId="0" xfId="2" quotePrefix="1" applyFont="1" applyBorder="1" applyAlignment="1">
      <alignment horizontal="left" vertical="center" wrapText="1"/>
    </xf>
    <xf numFmtId="14" fontId="11" fillId="3" borderId="0" xfId="2" applyNumberFormat="1" applyFont="1" applyFill="1" applyBorder="1" applyAlignment="1">
      <alignment horizontal="left" vertical="center"/>
    </xf>
    <xf numFmtId="0" fontId="14" fillId="3" borderId="0" xfId="2" applyFont="1" applyFill="1" applyBorder="1" applyAlignment="1">
      <alignment horizontal="left" vertical="center"/>
    </xf>
    <xf numFmtId="0" fontId="14" fillId="0" borderId="0" xfId="2" quotePrefix="1" applyFont="1" applyAlignment="1">
      <alignment horizontal="left" vertical="center" wrapText="1"/>
    </xf>
    <xf numFmtId="0" fontId="11" fillId="0" borderId="0" xfId="0" applyFont="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cellXfs>
  <cellStyles count="7">
    <cellStyle name="Comma" xfId="1" builtinId="3"/>
    <cellStyle name="Comma [0]" xfId="5" builtinId="6"/>
    <cellStyle name="Normal" xfId="0" builtinId="0"/>
    <cellStyle name="Normal 2" xfId="2"/>
    <cellStyle name="Normal 3" xfId="4"/>
    <cellStyle name="Percent" xfId="6" builtinId="5"/>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6315075" y="0"/>
    <xdr:ext cx="1716232" cy="531668"/>
    <xdr:pic>
      <xdr:nvPicPr>
        <xdr:cNvPr id="2" name="Imag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6315075" y="0"/>
          <a:ext cx="1716232" cy="531668"/>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absoluteAnchor>
  <xdr:twoCellAnchor editAs="oneCell">
    <xdr:from>
      <xdr:col>5</xdr:col>
      <xdr:colOff>1309488</xdr:colOff>
      <xdr:row>141</xdr:row>
      <xdr:rowOff>44823</xdr:rowOff>
    </xdr:from>
    <xdr:to>
      <xdr:col>7</xdr:col>
      <xdr:colOff>376742</xdr:colOff>
      <xdr:row>163</xdr:row>
      <xdr:rowOff>120591</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rotWithShape="1">
        <a:blip xmlns:r="http://schemas.openxmlformats.org/officeDocument/2006/relationships" r:embed="rId2" cstate="hqprint">
          <a:extLst>
            <a:ext uri="{28A0092B-C50C-407E-A947-70E740481C1C}">
              <a14:useLocalDpi xmlns:a14="http://schemas.microsoft.com/office/drawing/2010/main" val="0"/>
            </a:ext>
          </a:extLst>
        </a:blip>
        <a:srcRect l="-216269" t="-128969" r="216269" b="128969"/>
        <a:stretch/>
      </xdr:blipFill>
      <xdr:spPr>
        <a:xfrm>
          <a:off x="8279547" y="26815676"/>
          <a:ext cx="2742783" cy="20704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28" zoomScale="160" zoomScaleNormal="160" workbookViewId="0">
      <selection activeCell="H8" sqref="H8"/>
    </sheetView>
  </sheetViews>
  <sheetFormatPr defaultColWidth="8.85546875" defaultRowHeight="15.75" x14ac:dyDescent="0.25"/>
  <cols>
    <col min="1" max="1" width="18" style="3" customWidth="1"/>
    <col min="2" max="2" width="15.7109375" style="3" customWidth="1"/>
    <col min="3" max="3" width="21.42578125" style="3" customWidth="1"/>
    <col min="4" max="4" width="16.85546875" style="3" customWidth="1"/>
    <col min="5" max="5" width="16.7109375" style="3" customWidth="1"/>
    <col min="6" max="9" width="15.7109375" style="3" customWidth="1"/>
    <col min="10" max="16384" width="8.85546875" style="3"/>
  </cols>
  <sheetData>
    <row r="1" spans="1:9" x14ac:dyDescent="0.25">
      <c r="A1" s="169" t="s">
        <v>97</v>
      </c>
      <c r="B1" s="169"/>
      <c r="C1" s="169"/>
      <c r="D1" s="169"/>
      <c r="E1" s="169"/>
    </row>
    <row r="2" spans="1:9" x14ac:dyDescent="0.25">
      <c r="A2" s="169" t="s">
        <v>98</v>
      </c>
      <c r="B2" s="169"/>
      <c r="C2" s="169"/>
      <c r="D2" s="169"/>
      <c r="E2" s="169"/>
    </row>
    <row r="3" spans="1:9" x14ac:dyDescent="0.25">
      <c r="A3" s="7"/>
    </row>
    <row r="4" spans="1:9" x14ac:dyDescent="0.25">
      <c r="A4" s="169" t="s">
        <v>99</v>
      </c>
      <c r="B4" s="169"/>
      <c r="C4" s="169"/>
      <c r="D4" s="169"/>
      <c r="E4" s="169"/>
    </row>
    <row r="5" spans="1:9" x14ac:dyDescent="0.25">
      <c r="A5" s="170" t="s">
        <v>166</v>
      </c>
      <c r="B5" s="165"/>
      <c r="C5" s="165"/>
      <c r="D5" s="165"/>
      <c r="E5" s="165"/>
    </row>
    <row r="6" spans="1:9" ht="51.75" customHeight="1" x14ac:dyDescent="0.25">
      <c r="A6" s="171" t="s">
        <v>100</v>
      </c>
      <c r="B6" s="171"/>
      <c r="C6" s="171"/>
      <c r="D6" s="171"/>
      <c r="E6" s="171"/>
    </row>
    <row r="7" spans="1:9" x14ac:dyDescent="0.25">
      <c r="A7" s="2" t="s">
        <v>83</v>
      </c>
      <c r="B7" s="4" t="s">
        <v>132</v>
      </c>
    </row>
    <row r="8" spans="1:9" ht="37.5" customHeight="1" x14ac:dyDescent="0.25">
      <c r="A8" s="17" t="s">
        <v>50</v>
      </c>
      <c r="B8" s="168" t="s">
        <v>133</v>
      </c>
      <c r="C8" s="168"/>
      <c r="D8" s="168"/>
      <c r="E8" s="168"/>
    </row>
    <row r="9" spans="1:9" x14ac:dyDescent="0.25">
      <c r="A9" s="5" t="s">
        <v>84</v>
      </c>
      <c r="B9" s="14" t="s">
        <v>134</v>
      </c>
      <c r="C9" s="3" t="s">
        <v>135</v>
      </c>
      <c r="I9" s="3" t="s">
        <v>40</v>
      </c>
    </row>
    <row r="10" spans="1:9" x14ac:dyDescent="0.25">
      <c r="A10" s="5" t="s">
        <v>93</v>
      </c>
      <c r="B10" s="13" t="s">
        <v>136</v>
      </c>
    </row>
    <row r="11" spans="1:9" x14ac:dyDescent="0.25">
      <c r="A11" s="5" t="s">
        <v>85</v>
      </c>
      <c r="B11" s="6"/>
      <c r="C11" s="4"/>
      <c r="D11" s="15"/>
      <c r="E11" s="16"/>
    </row>
    <row r="12" spans="1:9" x14ac:dyDescent="0.25">
      <c r="A12" s="166" t="s">
        <v>117</v>
      </c>
      <c r="B12" s="166"/>
      <c r="C12" s="166"/>
      <c r="D12" s="166"/>
      <c r="E12" s="166"/>
    </row>
    <row r="13" spans="1:9" x14ac:dyDescent="0.25">
      <c r="A13" s="5" t="s">
        <v>101</v>
      </c>
      <c r="B13" s="3" t="s">
        <v>120</v>
      </c>
    </row>
    <row r="14" spans="1:9" x14ac:dyDescent="0.25">
      <c r="A14" s="8" t="s">
        <v>86</v>
      </c>
      <c r="B14" s="3" t="s">
        <v>87</v>
      </c>
    </row>
    <row r="15" spans="1:9" x14ac:dyDescent="0.25">
      <c r="A15" s="8" t="s">
        <v>88</v>
      </c>
      <c r="B15" s="3" t="s">
        <v>89</v>
      </c>
    </row>
    <row r="16" spans="1:9" x14ac:dyDescent="0.25">
      <c r="A16" s="8" t="s">
        <v>90</v>
      </c>
      <c r="B16" s="3" t="s">
        <v>91</v>
      </c>
    </row>
    <row r="17" spans="1:5" x14ac:dyDescent="0.25">
      <c r="A17" s="8"/>
    </row>
    <row r="18" spans="1:5" x14ac:dyDescent="0.25">
      <c r="A18" s="2" t="s">
        <v>92</v>
      </c>
    </row>
    <row r="19" spans="1:5" ht="54.75" customHeight="1" x14ac:dyDescent="0.25">
      <c r="A19" s="167" t="s">
        <v>137</v>
      </c>
      <c r="B19" s="167"/>
      <c r="C19" s="167"/>
      <c r="D19" s="167"/>
      <c r="E19" s="167"/>
    </row>
    <row r="20" spans="1:5" x14ac:dyDescent="0.25">
      <c r="A20" s="9" t="s">
        <v>94</v>
      </c>
      <c r="B20" s="1"/>
    </row>
    <row r="21" spans="1:5" x14ac:dyDescent="0.25">
      <c r="A21" s="9"/>
      <c r="B21" s="1"/>
    </row>
    <row r="22" spans="1:5" x14ac:dyDescent="0.25">
      <c r="A22" s="10" t="s">
        <v>102</v>
      </c>
    </row>
    <row r="23" spans="1:5" x14ac:dyDescent="0.25">
      <c r="A23" s="8" t="s">
        <v>95</v>
      </c>
    </row>
    <row r="24" spans="1:5" x14ac:dyDescent="0.25">
      <c r="A24" s="8"/>
    </row>
    <row r="25" spans="1:5" x14ac:dyDescent="0.25">
      <c r="A25" s="10" t="s">
        <v>103</v>
      </c>
    </row>
    <row r="26" spans="1:5" x14ac:dyDescent="0.25">
      <c r="A26" s="8" t="s">
        <v>119</v>
      </c>
    </row>
    <row r="28" spans="1:5" x14ac:dyDescent="0.25">
      <c r="D28" s="12" t="s">
        <v>161</v>
      </c>
    </row>
    <row r="29" spans="1:5" x14ac:dyDescent="0.25">
      <c r="A29" s="164" t="s">
        <v>104</v>
      </c>
      <c r="B29" s="164"/>
      <c r="D29" s="11" t="s">
        <v>96</v>
      </c>
    </row>
    <row r="30" spans="1:5" x14ac:dyDescent="0.25">
      <c r="A30" s="165" t="s">
        <v>105</v>
      </c>
      <c r="B30" s="165"/>
    </row>
    <row r="31" spans="1:5" x14ac:dyDescent="0.25">
      <c r="A31" s="164" t="s">
        <v>106</v>
      </c>
      <c r="B31" s="164"/>
    </row>
  </sheetData>
  <mergeCells count="11">
    <mergeCell ref="B8:E8"/>
    <mergeCell ref="A1:E1"/>
    <mergeCell ref="A2:E2"/>
    <mergeCell ref="A4:E4"/>
    <mergeCell ref="A5:E5"/>
    <mergeCell ref="A6:E6"/>
    <mergeCell ref="A29:B29"/>
    <mergeCell ref="A30:B30"/>
    <mergeCell ref="A31:B31"/>
    <mergeCell ref="A12:E12"/>
    <mergeCell ref="A19:E19"/>
  </mergeCells>
  <pageMargins left="0.7" right="0.7" top="0.75" bottom="0.75" header="0.3" footer="0.3"/>
  <pageSetup scale="9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66"/>
  <sheetViews>
    <sheetView tabSelected="1" topLeftCell="A116" zoomScale="85" zoomScaleNormal="85" zoomScaleSheetLayoutView="40" zoomScalePageLayoutView="40" workbookViewId="0">
      <selection activeCell="I119" sqref="I119"/>
    </sheetView>
  </sheetViews>
  <sheetFormatPr defaultColWidth="8.85546875" defaultRowHeight="16.5" x14ac:dyDescent="0.25"/>
  <cols>
    <col min="1" max="1" width="6.28515625" style="18" customWidth="1"/>
    <col min="2" max="2" width="26.7109375" style="18" customWidth="1"/>
    <col min="3" max="3" width="28.5703125" style="68" bestFit="1" customWidth="1"/>
    <col min="4" max="5" width="23.85546875" style="68" customWidth="1"/>
    <col min="6" max="6" width="23.140625" style="68" customWidth="1"/>
    <col min="7" max="7" width="32" style="18" customWidth="1"/>
    <col min="8" max="8" width="12.42578125" style="18" bestFit="1" customWidth="1"/>
    <col min="9" max="9" width="25.140625" style="18" customWidth="1"/>
    <col min="10" max="10" width="9" style="18" bestFit="1" customWidth="1"/>
    <col min="11" max="16384" width="8.85546875" style="18"/>
  </cols>
  <sheetData>
    <row r="3" spans="1:8" ht="0.75" customHeight="1" x14ac:dyDescent="0.25"/>
    <row r="4" spans="1:8" ht="15.75" customHeight="1" x14ac:dyDescent="0.25">
      <c r="A4" s="198" t="s">
        <v>30</v>
      </c>
      <c r="B4" s="198"/>
      <c r="C4" s="198"/>
      <c r="D4" s="198"/>
      <c r="E4" s="198"/>
      <c r="F4" s="198"/>
      <c r="G4" s="19"/>
      <c r="H4" s="19"/>
    </row>
    <row r="5" spans="1:8" x14ac:dyDescent="0.25">
      <c r="A5" s="199" t="s">
        <v>31</v>
      </c>
      <c r="B5" s="199"/>
      <c r="C5" s="199"/>
      <c r="D5" s="199"/>
      <c r="E5" s="199"/>
      <c r="F5" s="199"/>
      <c r="G5" s="20"/>
      <c r="H5" s="20"/>
    </row>
    <row r="6" spans="1:8" x14ac:dyDescent="0.25">
      <c r="A6" s="200" t="s">
        <v>208</v>
      </c>
      <c r="B6" s="200"/>
      <c r="C6" s="200"/>
      <c r="D6" s="200"/>
      <c r="E6" s="200"/>
      <c r="F6" s="200"/>
      <c r="G6" s="20"/>
      <c r="H6" s="20"/>
    </row>
    <row r="8" spans="1:8" s="23" customFormat="1" hidden="1" x14ac:dyDescent="0.25">
      <c r="A8" s="21" t="s">
        <v>32</v>
      </c>
      <c r="B8" s="22"/>
      <c r="C8" s="35"/>
      <c r="D8" s="35"/>
      <c r="E8" s="35"/>
      <c r="F8" s="35"/>
      <c r="G8" s="22"/>
      <c r="H8" s="22"/>
    </row>
    <row r="9" spans="1:8" s="23" customFormat="1" hidden="1" x14ac:dyDescent="0.25">
      <c r="A9" s="24" t="s">
        <v>43</v>
      </c>
      <c r="B9" s="25"/>
      <c r="C9" s="163"/>
      <c r="D9" s="163"/>
      <c r="E9" s="163"/>
      <c r="F9" s="163"/>
      <c r="G9" s="25"/>
      <c r="H9" s="25"/>
    </row>
    <row r="10" spans="1:8" s="23" customFormat="1" hidden="1" x14ac:dyDescent="0.25">
      <c r="A10" s="24" t="s">
        <v>33</v>
      </c>
      <c r="B10" s="25"/>
      <c r="C10" s="63" t="s">
        <v>132</v>
      </c>
      <c r="D10" s="63"/>
      <c r="E10" s="63"/>
      <c r="F10" s="63"/>
      <c r="G10" s="25"/>
      <c r="H10" s="25"/>
    </row>
    <row r="11" spans="1:8" s="23" customFormat="1" hidden="1" x14ac:dyDescent="0.25">
      <c r="A11" s="25" t="s">
        <v>34</v>
      </c>
      <c r="B11" s="25"/>
      <c r="C11" s="63" t="s">
        <v>132</v>
      </c>
      <c r="D11" s="63"/>
      <c r="E11" s="63"/>
      <c r="F11" s="63"/>
      <c r="G11" s="25"/>
      <c r="H11" s="25"/>
    </row>
    <row r="12" spans="1:8" s="27" customFormat="1" hidden="1" x14ac:dyDescent="0.25">
      <c r="A12" s="201" t="s">
        <v>131</v>
      </c>
      <c r="B12" s="202"/>
      <c r="C12" s="202"/>
      <c r="D12" s="202"/>
      <c r="E12" s="202"/>
      <c r="F12" s="202"/>
      <c r="G12" s="26"/>
      <c r="H12" s="26"/>
    </row>
    <row r="13" spans="1:8" s="23" customFormat="1" hidden="1" x14ac:dyDescent="0.25">
      <c r="A13" s="25" t="s">
        <v>35</v>
      </c>
      <c r="B13" s="25"/>
      <c r="C13" s="112" t="s">
        <v>162</v>
      </c>
      <c r="D13" s="34"/>
      <c r="E13" s="34"/>
      <c r="F13" s="163"/>
      <c r="G13" s="25"/>
      <c r="H13" s="25"/>
    </row>
    <row r="14" spans="1:8" s="23" customFormat="1" hidden="1" x14ac:dyDescent="0.25">
      <c r="A14" s="25" t="s">
        <v>36</v>
      </c>
      <c r="B14" s="25"/>
      <c r="C14" s="35"/>
      <c r="D14" s="204" t="str">
        <f>C13</f>
        <v>30/07/2025</v>
      </c>
      <c r="E14" s="204"/>
      <c r="F14" s="204"/>
      <c r="G14" s="22"/>
      <c r="H14" s="22"/>
    </row>
    <row r="15" spans="1:8" s="23" customFormat="1" hidden="1" x14ac:dyDescent="0.25">
      <c r="A15" s="24" t="s">
        <v>42</v>
      </c>
      <c r="C15" s="63" t="s">
        <v>37</v>
      </c>
      <c r="D15" s="126" t="s">
        <v>38</v>
      </c>
      <c r="E15" s="145"/>
      <c r="F15" s="35"/>
      <c r="G15" s="22"/>
      <c r="H15" s="22"/>
    </row>
    <row r="16" spans="1:8" s="23" customFormat="1" hidden="1" x14ac:dyDescent="0.25">
      <c r="A16" s="25"/>
      <c r="C16" s="63" t="s">
        <v>39</v>
      </c>
      <c r="D16" s="126"/>
      <c r="E16" s="145"/>
      <c r="F16" s="35"/>
      <c r="G16" s="22"/>
      <c r="H16" s="22" t="s">
        <v>40</v>
      </c>
    </row>
    <row r="17" spans="1:8" s="23" customFormat="1" hidden="1" x14ac:dyDescent="0.25">
      <c r="A17" s="25"/>
      <c r="C17" s="63" t="s">
        <v>41</v>
      </c>
      <c r="D17" s="126"/>
      <c r="E17" s="145"/>
      <c r="F17" s="35"/>
      <c r="G17" s="28" t="s">
        <v>40</v>
      </c>
      <c r="H17" s="22"/>
    </row>
    <row r="18" spans="1:8" s="23" customFormat="1" hidden="1" x14ac:dyDescent="0.25">
      <c r="A18" s="25"/>
      <c r="C18" s="63"/>
      <c r="D18" s="127"/>
      <c r="E18" s="145"/>
      <c r="F18" s="35"/>
      <c r="G18" s="28"/>
      <c r="H18" s="22"/>
    </row>
    <row r="19" spans="1:8" s="23" customFormat="1" ht="15" hidden="1" customHeight="1" x14ac:dyDescent="0.25">
      <c r="A19" s="21" t="s">
        <v>44</v>
      </c>
      <c r="C19" s="63"/>
      <c r="D19" s="127"/>
      <c r="E19" s="145"/>
      <c r="F19" s="35"/>
      <c r="G19" s="28"/>
      <c r="H19" s="22"/>
    </row>
    <row r="20" spans="1:8" s="23" customFormat="1" ht="15.75" hidden="1" customHeight="1" x14ac:dyDescent="0.25">
      <c r="A20" s="21" t="s">
        <v>45</v>
      </c>
      <c r="B20" s="25"/>
      <c r="C20" s="108"/>
      <c r="D20" s="108"/>
      <c r="E20" s="108"/>
      <c r="F20" s="35"/>
      <c r="G20" s="22"/>
      <c r="H20" s="22"/>
    </row>
    <row r="21" spans="1:8" s="23" customFormat="1" ht="15.75" hidden="1" customHeight="1" x14ac:dyDescent="0.25">
      <c r="A21" s="29" t="s">
        <v>51</v>
      </c>
      <c r="B21" s="30"/>
      <c r="C21" s="205" t="s">
        <v>163</v>
      </c>
      <c r="D21" s="205"/>
      <c r="E21" s="205"/>
      <c r="F21" s="205"/>
      <c r="G21" s="22"/>
      <c r="H21" s="22"/>
    </row>
    <row r="22" spans="1:8" s="23" customFormat="1" ht="33.75" hidden="1" customHeight="1" x14ac:dyDescent="0.25">
      <c r="A22" s="206" t="s">
        <v>138</v>
      </c>
      <c r="B22" s="206"/>
      <c r="C22" s="206"/>
      <c r="D22" s="206"/>
      <c r="E22" s="206"/>
      <c r="F22" s="206"/>
      <c r="G22" s="31"/>
      <c r="H22" s="31"/>
    </row>
    <row r="23" spans="1:8" s="33" customFormat="1" ht="42" hidden="1" customHeight="1" x14ac:dyDescent="0.25">
      <c r="A23" s="203" t="s">
        <v>165</v>
      </c>
      <c r="B23" s="203"/>
      <c r="C23" s="203"/>
      <c r="D23" s="203"/>
      <c r="E23" s="203"/>
      <c r="F23" s="203"/>
      <c r="G23" s="32"/>
      <c r="H23" s="32"/>
    </row>
    <row r="24" spans="1:8" s="23" customFormat="1" hidden="1" x14ac:dyDescent="0.25">
      <c r="A24" s="21" t="s">
        <v>46</v>
      </c>
      <c r="B24" s="25"/>
      <c r="C24" s="35"/>
      <c r="D24" s="35"/>
      <c r="E24" s="35"/>
      <c r="F24" s="35"/>
      <c r="G24" s="22"/>
      <c r="H24" s="22"/>
    </row>
    <row r="25" spans="1:8" s="27" customFormat="1" ht="36.75" hidden="1" customHeight="1" x14ac:dyDescent="0.25">
      <c r="A25" s="175" t="s">
        <v>170</v>
      </c>
      <c r="B25" s="175"/>
      <c r="C25" s="175"/>
      <c r="D25" s="175"/>
      <c r="E25" s="175"/>
      <c r="F25" s="175"/>
      <c r="G25" s="34"/>
      <c r="H25" s="35"/>
    </row>
    <row r="26" spans="1:8" s="23" customFormat="1" hidden="1" x14ac:dyDescent="0.25">
      <c r="A26" s="36" t="s">
        <v>47</v>
      </c>
      <c r="C26" s="63"/>
      <c r="D26" s="127"/>
      <c r="E26" s="145"/>
      <c r="F26" s="35"/>
      <c r="G26" s="28"/>
      <c r="H26" s="22"/>
    </row>
    <row r="27" spans="1:8" s="23" customFormat="1" hidden="1" x14ac:dyDescent="0.25">
      <c r="A27" s="36" t="s">
        <v>48</v>
      </c>
      <c r="C27" s="63"/>
      <c r="D27" s="127"/>
      <c r="E27" s="145"/>
      <c r="F27" s="35"/>
      <c r="G27" s="28"/>
      <c r="H27" s="22"/>
    </row>
    <row r="28" spans="1:8" s="38" customFormat="1" hidden="1" x14ac:dyDescent="0.25">
      <c r="A28" s="37" t="s">
        <v>139</v>
      </c>
      <c r="C28" s="113"/>
      <c r="D28" s="128"/>
      <c r="E28" s="146"/>
      <c r="F28" s="147"/>
      <c r="G28" s="40"/>
      <c r="H28" s="39"/>
    </row>
    <row r="29" spans="1:8" s="38" customFormat="1" hidden="1" x14ac:dyDescent="0.25">
      <c r="A29" s="37" t="s">
        <v>140</v>
      </c>
      <c r="B29" s="41"/>
      <c r="C29" s="113"/>
      <c r="D29" s="128"/>
      <c r="E29" s="146"/>
      <c r="F29" s="147"/>
      <c r="G29" s="40"/>
      <c r="H29" s="39"/>
    </row>
    <row r="30" spans="1:8" s="33" customFormat="1" hidden="1" x14ac:dyDescent="0.25">
      <c r="A30" s="172" t="s">
        <v>141</v>
      </c>
      <c r="B30" s="172"/>
      <c r="C30" s="114"/>
      <c r="D30" s="129" t="s">
        <v>153</v>
      </c>
      <c r="E30" s="129"/>
      <c r="F30" s="148"/>
      <c r="G30" s="42"/>
      <c r="H30" s="43"/>
    </row>
    <row r="31" spans="1:8" s="33" customFormat="1" ht="17.25" hidden="1" x14ac:dyDescent="0.3">
      <c r="A31" s="44"/>
      <c r="B31" s="45"/>
      <c r="C31" s="114"/>
      <c r="D31" s="111" t="s">
        <v>154</v>
      </c>
      <c r="E31" s="149"/>
      <c r="F31" s="111" t="s">
        <v>155</v>
      </c>
      <c r="G31" s="42"/>
      <c r="H31" s="43"/>
    </row>
    <row r="32" spans="1:8" s="33" customFormat="1" ht="17.25" hidden="1" x14ac:dyDescent="0.3">
      <c r="A32" s="48" t="s">
        <v>142</v>
      </c>
      <c r="B32" s="44"/>
      <c r="C32" s="115"/>
      <c r="D32" s="129" t="s">
        <v>153</v>
      </c>
      <c r="E32" s="129"/>
      <c r="F32" s="148"/>
      <c r="G32" s="49"/>
      <c r="H32" s="43"/>
    </row>
    <row r="33" spans="1:8" s="33" customFormat="1" ht="17.25" hidden="1" x14ac:dyDescent="0.3">
      <c r="A33" s="50"/>
      <c r="B33" s="44"/>
      <c r="C33" s="115"/>
      <c r="D33" s="111" t="s">
        <v>154</v>
      </c>
      <c r="E33" s="149"/>
      <c r="F33" s="111" t="s">
        <v>155</v>
      </c>
      <c r="G33" s="42"/>
      <c r="H33" s="43"/>
    </row>
    <row r="34" spans="1:8" s="38" customFormat="1" hidden="1" x14ac:dyDescent="0.25">
      <c r="A34" s="51" t="s">
        <v>143</v>
      </c>
      <c r="C34" s="113"/>
      <c r="D34" s="128"/>
      <c r="E34" s="146"/>
      <c r="F34" s="147"/>
      <c r="G34" s="40"/>
      <c r="H34" s="39"/>
    </row>
    <row r="35" spans="1:8" s="38" customFormat="1" hidden="1" x14ac:dyDescent="0.25">
      <c r="A35" s="51" t="s">
        <v>156</v>
      </c>
      <c r="C35" s="113"/>
      <c r="D35" s="128"/>
      <c r="E35" s="146"/>
      <c r="F35" s="147"/>
      <c r="G35" s="40"/>
      <c r="H35" s="39"/>
    </row>
    <row r="36" spans="1:8" s="38" customFormat="1" hidden="1" x14ac:dyDescent="0.25">
      <c r="A36" s="51" t="s">
        <v>171</v>
      </c>
      <c r="C36" s="113"/>
      <c r="D36" s="128"/>
      <c r="E36" s="146"/>
      <c r="F36" s="147"/>
      <c r="G36" s="40"/>
      <c r="H36" s="39"/>
    </row>
    <row r="37" spans="1:8" s="38" customFormat="1" hidden="1" x14ac:dyDescent="0.25">
      <c r="A37" s="51" t="s">
        <v>144</v>
      </c>
      <c r="C37" s="113"/>
      <c r="D37" s="128"/>
      <c r="E37" s="146"/>
      <c r="F37" s="147"/>
      <c r="G37" s="40"/>
      <c r="H37" s="39"/>
    </row>
    <row r="38" spans="1:8" s="33" customFormat="1" hidden="1" x14ac:dyDescent="0.25">
      <c r="A38" s="52" t="s">
        <v>172</v>
      </c>
      <c r="C38" s="116"/>
      <c r="D38" s="130"/>
      <c r="E38" s="150"/>
      <c r="F38" s="151"/>
      <c r="G38" s="42"/>
      <c r="H38" s="43"/>
    </row>
    <row r="39" spans="1:8" s="33" customFormat="1" hidden="1" x14ac:dyDescent="0.25">
      <c r="A39" s="53" t="s">
        <v>160</v>
      </c>
      <c r="B39" s="47"/>
      <c r="C39" s="116"/>
      <c r="D39" s="130"/>
      <c r="E39" s="150"/>
      <c r="F39" s="151"/>
      <c r="G39" s="42"/>
      <c r="H39" s="43"/>
    </row>
    <row r="40" spans="1:8" s="33" customFormat="1" hidden="1" x14ac:dyDescent="0.25">
      <c r="A40" s="52" t="s">
        <v>126</v>
      </c>
      <c r="C40" s="116"/>
      <c r="D40" s="130"/>
      <c r="E40" s="150"/>
      <c r="F40" s="151"/>
      <c r="G40" s="42"/>
      <c r="H40" s="43"/>
    </row>
    <row r="41" spans="1:8" s="38" customFormat="1" hidden="1" x14ac:dyDescent="0.25">
      <c r="A41" s="51" t="s">
        <v>124</v>
      </c>
      <c r="C41" s="113"/>
      <c r="D41" s="128"/>
      <c r="E41" s="146"/>
      <c r="F41" s="147"/>
      <c r="G41" s="40"/>
      <c r="H41" s="39"/>
    </row>
    <row r="42" spans="1:8" s="38" customFormat="1" hidden="1" x14ac:dyDescent="0.25">
      <c r="A42" s="51" t="s">
        <v>145</v>
      </c>
      <c r="B42" s="54"/>
      <c r="C42" s="113"/>
      <c r="D42" s="128"/>
      <c r="E42" s="146"/>
      <c r="F42" s="147"/>
      <c r="G42" s="40"/>
      <c r="H42" s="39"/>
    </row>
    <row r="43" spans="1:8" s="56" customFormat="1" hidden="1" x14ac:dyDescent="0.25">
      <c r="A43" s="186" t="s">
        <v>125</v>
      </c>
      <c r="B43" s="186"/>
      <c r="C43" s="186"/>
      <c r="D43" s="186"/>
      <c r="E43" s="186"/>
      <c r="F43" s="186"/>
      <c r="G43" s="55"/>
      <c r="H43" s="22"/>
    </row>
    <row r="44" spans="1:8" s="33" customFormat="1" hidden="1" x14ac:dyDescent="0.25">
      <c r="A44" s="57"/>
      <c r="B44" s="48" t="s">
        <v>146</v>
      </c>
      <c r="C44" s="116"/>
      <c r="D44" s="130"/>
      <c r="E44" s="150"/>
      <c r="F44" s="151"/>
      <c r="G44" s="42"/>
      <c r="H44" s="43"/>
    </row>
    <row r="45" spans="1:8" s="33" customFormat="1" hidden="1" x14ac:dyDescent="0.25">
      <c r="A45" s="57"/>
      <c r="B45" s="58" t="s">
        <v>147</v>
      </c>
      <c r="C45" s="116"/>
      <c r="D45" s="130"/>
      <c r="E45" s="150"/>
      <c r="F45" s="151"/>
      <c r="G45" s="42"/>
      <c r="H45" s="43"/>
    </row>
    <row r="46" spans="1:8" s="33" customFormat="1" ht="19.5" hidden="1" x14ac:dyDescent="0.25">
      <c r="A46" s="57"/>
      <c r="B46" s="48" t="s">
        <v>173</v>
      </c>
      <c r="C46" s="116"/>
      <c r="D46" s="130"/>
      <c r="E46" s="150"/>
      <c r="F46" s="151"/>
      <c r="G46" s="42"/>
      <c r="H46" s="43"/>
    </row>
    <row r="47" spans="1:8" s="33" customFormat="1" ht="19.5" hidden="1" x14ac:dyDescent="0.25">
      <c r="A47" s="57"/>
      <c r="B47" s="48" t="s">
        <v>174</v>
      </c>
      <c r="C47" s="116"/>
      <c r="D47" s="130"/>
      <c r="E47" s="150"/>
      <c r="F47" s="151"/>
      <c r="G47" s="42"/>
      <c r="H47" s="43"/>
    </row>
    <row r="48" spans="1:8" s="33" customFormat="1" hidden="1" x14ac:dyDescent="0.25">
      <c r="A48" s="57"/>
      <c r="B48" s="48" t="s">
        <v>149</v>
      </c>
      <c r="C48" s="116"/>
      <c r="D48" s="130"/>
      <c r="E48" s="150"/>
      <c r="F48" s="151"/>
      <c r="G48" s="42"/>
      <c r="H48" s="43"/>
    </row>
    <row r="49" spans="1:8" s="33" customFormat="1" hidden="1" x14ac:dyDescent="0.25">
      <c r="A49" s="57"/>
      <c r="B49" s="48" t="s">
        <v>150</v>
      </c>
      <c r="C49" s="116"/>
      <c r="D49" s="130"/>
      <c r="E49" s="150"/>
      <c r="F49" s="151"/>
      <c r="G49" s="42"/>
      <c r="H49" s="43"/>
    </row>
    <row r="50" spans="1:8" s="33" customFormat="1" hidden="1" x14ac:dyDescent="0.25">
      <c r="A50" s="57"/>
      <c r="B50" s="58" t="s">
        <v>148</v>
      </c>
      <c r="C50" s="116"/>
      <c r="D50" s="130"/>
      <c r="E50" s="150"/>
      <c r="F50" s="151"/>
      <c r="G50" s="42"/>
      <c r="H50" s="43"/>
    </row>
    <row r="51" spans="1:8" s="33" customFormat="1" hidden="1" x14ac:dyDescent="0.25">
      <c r="A51" s="57"/>
      <c r="B51" s="59" t="s">
        <v>121</v>
      </c>
      <c r="C51" s="116"/>
      <c r="D51" s="130"/>
      <c r="E51" s="150"/>
      <c r="F51" s="151"/>
      <c r="G51" s="42"/>
      <c r="H51" s="43"/>
    </row>
    <row r="52" spans="1:8" s="33" customFormat="1" hidden="1" x14ac:dyDescent="0.25">
      <c r="A52" s="57"/>
      <c r="B52" s="48" t="s">
        <v>122</v>
      </c>
      <c r="C52" s="117" t="s">
        <v>127</v>
      </c>
      <c r="D52" s="130"/>
      <c r="E52" s="150"/>
      <c r="F52" s="151"/>
      <c r="G52" s="42"/>
      <c r="H52" s="43"/>
    </row>
    <row r="53" spans="1:8" s="33" customFormat="1" hidden="1" x14ac:dyDescent="0.25">
      <c r="A53" s="57"/>
      <c r="B53" s="48" t="s">
        <v>123</v>
      </c>
      <c r="C53" s="118" t="s">
        <v>157</v>
      </c>
      <c r="D53" s="130"/>
      <c r="E53" s="150"/>
      <c r="F53" s="151"/>
      <c r="G53" s="42"/>
      <c r="H53" s="43"/>
    </row>
    <row r="54" spans="1:8" s="61" customFormat="1" ht="21.75" hidden="1" customHeight="1" x14ac:dyDescent="0.25">
      <c r="A54" s="185" t="s">
        <v>175</v>
      </c>
      <c r="B54" s="185"/>
      <c r="C54" s="185"/>
      <c r="D54" s="185"/>
      <c r="E54" s="185"/>
      <c r="F54" s="185"/>
      <c r="G54" s="60"/>
      <c r="H54" s="43"/>
    </row>
    <row r="55" spans="1:8" s="23" customFormat="1" hidden="1" x14ac:dyDescent="0.25">
      <c r="A55" s="62" t="s">
        <v>49</v>
      </c>
      <c r="B55" s="27"/>
      <c r="C55" s="63"/>
      <c r="D55" s="127"/>
      <c r="E55" s="145"/>
      <c r="F55" s="35"/>
      <c r="G55" s="28"/>
      <c r="H55" s="22"/>
    </row>
    <row r="56" spans="1:8" s="65" customFormat="1" ht="16.5" hidden="1" customHeight="1" x14ac:dyDescent="0.25">
      <c r="A56" s="181" t="s">
        <v>151</v>
      </c>
      <c r="B56" s="181"/>
      <c r="C56" s="181"/>
      <c r="D56" s="181"/>
      <c r="E56" s="181"/>
      <c r="F56" s="181"/>
      <c r="G56" s="64"/>
      <c r="H56" s="43"/>
    </row>
    <row r="57" spans="1:8" s="50" customFormat="1" hidden="1" x14ac:dyDescent="0.25">
      <c r="A57" s="66" t="s">
        <v>152</v>
      </c>
      <c r="B57" s="67"/>
      <c r="C57" s="67"/>
      <c r="D57" s="67"/>
      <c r="E57" s="67"/>
      <c r="F57" s="67"/>
    </row>
    <row r="58" spans="1:8" s="50" customFormat="1" hidden="1" x14ac:dyDescent="0.25">
      <c r="A58" s="66" t="s">
        <v>167</v>
      </c>
      <c r="B58" s="67"/>
      <c r="C58" s="67"/>
      <c r="D58" s="67"/>
      <c r="E58" s="67"/>
      <c r="F58" s="67"/>
    </row>
    <row r="59" spans="1:8" s="50" customFormat="1" hidden="1" x14ac:dyDescent="0.25">
      <c r="A59" s="66" t="s">
        <v>128</v>
      </c>
      <c r="B59" s="67"/>
      <c r="C59" s="67"/>
      <c r="D59" s="131"/>
      <c r="E59" s="131"/>
      <c r="F59" s="67"/>
    </row>
    <row r="60" spans="1:8" hidden="1" x14ac:dyDescent="0.25">
      <c r="A60" s="62" t="s">
        <v>115</v>
      </c>
      <c r="B60" s="68"/>
    </row>
    <row r="61" spans="1:8" hidden="1" x14ac:dyDescent="0.25">
      <c r="A61" s="62" t="s">
        <v>61</v>
      </c>
      <c r="B61" s="68"/>
    </row>
    <row r="62" spans="1:8" hidden="1" x14ac:dyDescent="0.25">
      <c r="A62" s="69" t="s">
        <v>53</v>
      </c>
      <c r="B62" s="68"/>
    </row>
    <row r="63" spans="1:8" ht="42.75" hidden="1" customHeight="1" x14ac:dyDescent="0.25">
      <c r="A63" s="175" t="s">
        <v>52</v>
      </c>
      <c r="B63" s="175"/>
      <c r="C63" s="175"/>
      <c r="D63" s="175"/>
      <c r="E63" s="175"/>
      <c r="F63" s="175"/>
    </row>
    <row r="64" spans="1:8" ht="42.75" hidden="1" customHeight="1" x14ac:dyDescent="0.25">
      <c r="A64" s="175" t="s">
        <v>114</v>
      </c>
      <c r="B64" s="175"/>
      <c r="C64" s="175"/>
      <c r="D64" s="175"/>
      <c r="E64" s="175"/>
      <c r="F64" s="175"/>
    </row>
    <row r="65" spans="1:8" s="50" customFormat="1" ht="42.75" hidden="1" customHeight="1" x14ac:dyDescent="0.25">
      <c r="A65" s="192" t="s">
        <v>158</v>
      </c>
      <c r="B65" s="192"/>
      <c r="C65" s="192"/>
      <c r="D65" s="192"/>
      <c r="E65" s="192"/>
      <c r="F65" s="192"/>
    </row>
    <row r="66" spans="1:8" hidden="1" x14ac:dyDescent="0.25">
      <c r="A66" s="70" t="s">
        <v>54</v>
      </c>
      <c r="B66" s="68"/>
    </row>
    <row r="67" spans="1:8" s="50" customFormat="1" ht="28.5" hidden="1" customHeight="1" x14ac:dyDescent="0.25">
      <c r="A67" s="193" t="s">
        <v>55</v>
      </c>
      <c r="B67" s="193"/>
      <c r="C67" s="193"/>
      <c r="D67" s="193"/>
      <c r="E67" s="193"/>
      <c r="F67" s="193"/>
      <c r="G67" s="50" t="s">
        <v>40</v>
      </c>
    </row>
    <row r="68" spans="1:8" s="50" customFormat="1" ht="18.75" hidden="1" customHeight="1" x14ac:dyDescent="0.25">
      <c r="A68" s="71" t="s">
        <v>56</v>
      </c>
      <c r="B68" s="67"/>
      <c r="C68" s="72">
        <f>C124</f>
        <v>644000</v>
      </c>
      <c r="D68" s="67" t="s">
        <v>113</v>
      </c>
      <c r="E68" s="67"/>
      <c r="F68" s="67"/>
    </row>
    <row r="69" spans="1:8" x14ac:dyDescent="0.25">
      <c r="A69" s="27"/>
      <c r="B69" s="68"/>
      <c r="E69" s="152" t="s">
        <v>60</v>
      </c>
    </row>
    <row r="70" spans="1:8" ht="33" x14ac:dyDescent="0.25">
      <c r="A70" s="27"/>
      <c r="B70" s="194" t="s">
        <v>26</v>
      </c>
      <c r="C70" s="194"/>
      <c r="D70" s="132" t="s">
        <v>27</v>
      </c>
      <c r="E70" s="132" t="s">
        <v>28</v>
      </c>
      <c r="G70" s="73"/>
    </row>
    <row r="71" spans="1:8" ht="33.75" customHeight="1" x14ac:dyDescent="0.25">
      <c r="A71" s="27"/>
      <c r="B71" s="187" t="s">
        <v>192</v>
      </c>
      <c r="C71" s="188"/>
      <c r="D71" s="132">
        <f>D72*D73</f>
        <v>16400000</v>
      </c>
      <c r="E71" s="132">
        <f>E72*E73</f>
        <v>25000000</v>
      </c>
      <c r="F71" s="74"/>
      <c r="G71" s="75"/>
    </row>
    <row r="72" spans="1:8" x14ac:dyDescent="0.25">
      <c r="A72" s="27"/>
      <c r="B72" s="189" t="s">
        <v>112</v>
      </c>
      <c r="C72" s="190"/>
      <c r="D72" s="133">
        <v>50</v>
      </c>
      <c r="E72" s="133">
        <f>D72</f>
        <v>50</v>
      </c>
      <c r="F72" s="153"/>
      <c r="G72" s="76"/>
      <c r="H72" s="73"/>
    </row>
    <row r="73" spans="1:8" x14ac:dyDescent="0.25">
      <c r="A73" s="27"/>
      <c r="B73" s="189" t="s">
        <v>107</v>
      </c>
      <c r="C73" s="190"/>
      <c r="D73" s="162">
        <v>328000</v>
      </c>
      <c r="E73" s="162">
        <f>C125</f>
        <v>500000</v>
      </c>
      <c r="F73" s="154"/>
      <c r="G73" s="77"/>
    </row>
    <row r="74" spans="1:8" ht="16.5" customHeight="1" x14ac:dyDescent="0.25">
      <c r="A74" s="27"/>
      <c r="B74" s="187" t="s">
        <v>201</v>
      </c>
      <c r="C74" s="188"/>
      <c r="D74" s="132">
        <f>D76*D75</f>
        <v>28932799.999999996</v>
      </c>
      <c r="E74" s="132">
        <f>E75*E76</f>
        <v>85600000</v>
      </c>
      <c r="F74" s="154"/>
      <c r="G74" s="77"/>
    </row>
    <row r="75" spans="1:8" x14ac:dyDescent="0.25">
      <c r="A75" s="27"/>
      <c r="B75" s="189" t="s">
        <v>112</v>
      </c>
      <c r="C75" s="190"/>
      <c r="D75" s="134">
        <v>171.2</v>
      </c>
      <c r="E75" s="134">
        <f>D75</f>
        <v>171.2</v>
      </c>
      <c r="F75" s="154"/>
      <c r="G75" s="77"/>
    </row>
    <row r="76" spans="1:8" x14ac:dyDescent="0.25">
      <c r="A76" s="27"/>
      <c r="B76" s="189" t="s">
        <v>107</v>
      </c>
      <c r="C76" s="190"/>
      <c r="D76" s="162">
        <v>169000</v>
      </c>
      <c r="E76" s="162">
        <f>C125</f>
        <v>500000</v>
      </c>
      <c r="F76" s="154"/>
      <c r="G76" s="77"/>
    </row>
    <row r="77" spans="1:8" ht="33.75" customHeight="1" x14ac:dyDescent="0.25">
      <c r="A77" s="27"/>
      <c r="B77" s="187" t="s">
        <v>189</v>
      </c>
      <c r="C77" s="188"/>
      <c r="D77" s="132">
        <f>D78*D79</f>
        <v>0</v>
      </c>
      <c r="E77" s="132">
        <f>E78*E79</f>
        <v>0</v>
      </c>
      <c r="F77" s="74"/>
      <c r="G77" s="75"/>
    </row>
    <row r="78" spans="1:8" x14ac:dyDescent="0.25">
      <c r="A78" s="27"/>
      <c r="B78" s="189" t="s">
        <v>112</v>
      </c>
      <c r="C78" s="190"/>
      <c r="D78" s="133">
        <f>0</f>
        <v>0</v>
      </c>
      <c r="E78" s="133">
        <f>D78</f>
        <v>0</v>
      </c>
      <c r="F78" s="153"/>
      <c r="G78" s="76"/>
      <c r="H78" s="73"/>
    </row>
    <row r="79" spans="1:8" x14ac:dyDescent="0.25">
      <c r="A79" s="27"/>
      <c r="B79" s="189" t="s">
        <v>107</v>
      </c>
      <c r="C79" s="190"/>
      <c r="D79" s="162">
        <f>0</f>
        <v>0</v>
      </c>
      <c r="E79" s="162">
        <f>D79</f>
        <v>0</v>
      </c>
      <c r="F79" s="154"/>
      <c r="G79" s="77"/>
    </row>
    <row r="80" spans="1:8" x14ac:dyDescent="0.25">
      <c r="A80" s="27"/>
      <c r="B80" s="191" t="s">
        <v>190</v>
      </c>
      <c r="C80" s="191"/>
      <c r="D80" s="132">
        <f>C131</f>
        <v>0</v>
      </c>
      <c r="E80" s="132">
        <f>D80</f>
        <v>0</v>
      </c>
      <c r="G80" s="78"/>
    </row>
    <row r="81" spans="1:10" x14ac:dyDescent="0.25">
      <c r="A81" s="68"/>
      <c r="B81" s="191" t="s">
        <v>191</v>
      </c>
      <c r="C81" s="191"/>
      <c r="D81" s="132">
        <f>+D80+D71+D77+D74</f>
        <v>45332800</v>
      </c>
      <c r="E81" s="132">
        <f>+E80+E71+E77+E74</f>
        <v>110600000</v>
      </c>
      <c r="F81" s="79"/>
      <c r="G81" s="75">
        <f>E81*0.75</f>
        <v>82950000</v>
      </c>
    </row>
    <row r="82" spans="1:10" x14ac:dyDescent="0.25">
      <c r="A82" s="68"/>
      <c r="B82" s="196" t="s">
        <v>168</v>
      </c>
      <c r="C82" s="197"/>
      <c r="D82" s="132">
        <v>90000000</v>
      </c>
      <c r="E82" s="132">
        <v>110000000</v>
      </c>
      <c r="F82" s="79"/>
      <c r="G82" s="75"/>
    </row>
    <row r="83" spans="1:10" x14ac:dyDescent="0.25">
      <c r="G83" s="80"/>
      <c r="I83" s="76"/>
    </row>
    <row r="84" spans="1:10" ht="25.5" customHeight="1" x14ac:dyDescent="0.25">
      <c r="A84" s="68"/>
      <c r="B84" s="81" t="s">
        <v>57</v>
      </c>
      <c r="C84" s="81"/>
      <c r="D84" s="135">
        <f>E82</f>
        <v>110000000</v>
      </c>
      <c r="E84" s="155" t="s">
        <v>59</v>
      </c>
      <c r="F84" s="79"/>
      <c r="G84" s="79"/>
      <c r="H84" s="68"/>
      <c r="I84" s="83"/>
      <c r="J84" s="68"/>
    </row>
    <row r="85" spans="1:10" x14ac:dyDescent="0.25">
      <c r="A85" s="68"/>
      <c r="B85" s="84" t="s">
        <v>58</v>
      </c>
      <c r="C85" s="85" t="s">
        <v>209</v>
      </c>
      <c r="F85" s="79"/>
      <c r="G85" s="68"/>
      <c r="H85" s="68"/>
      <c r="I85" s="79"/>
      <c r="J85" s="68"/>
    </row>
    <row r="86" spans="1:10" x14ac:dyDescent="0.25">
      <c r="A86" s="86" t="s">
        <v>62</v>
      </c>
      <c r="B86" s="84"/>
      <c r="G86" s="68"/>
      <c r="H86" s="68"/>
      <c r="I86" s="87"/>
      <c r="J86" s="68"/>
    </row>
    <row r="87" spans="1:10" x14ac:dyDescent="0.25">
      <c r="A87" s="88" t="s">
        <v>1</v>
      </c>
      <c r="B87" s="88" t="s">
        <v>2</v>
      </c>
      <c r="C87" s="161" t="s">
        <v>3</v>
      </c>
      <c r="D87" s="161" t="s">
        <v>4</v>
      </c>
      <c r="E87" s="161" t="s">
        <v>5</v>
      </c>
      <c r="F87" s="161" t="s">
        <v>6</v>
      </c>
      <c r="G87" s="68"/>
      <c r="H87" s="68"/>
      <c r="I87" s="89"/>
      <c r="J87" s="68"/>
    </row>
    <row r="88" spans="1:10" ht="265.5" customHeight="1" x14ac:dyDescent="0.25">
      <c r="A88" s="90"/>
      <c r="B88" s="91" t="s">
        <v>7</v>
      </c>
      <c r="C88" s="109" t="s">
        <v>210</v>
      </c>
      <c r="D88" s="109" t="s">
        <v>206</v>
      </c>
      <c r="E88" s="109" t="s">
        <v>207</v>
      </c>
      <c r="F88" s="109" t="s">
        <v>204</v>
      </c>
      <c r="G88" s="68" t="s">
        <v>205</v>
      </c>
      <c r="H88" s="68"/>
      <c r="I88" s="68"/>
      <c r="J88" s="68"/>
    </row>
    <row r="89" spans="1:10" x14ac:dyDescent="0.25">
      <c r="A89" s="183"/>
      <c r="B89" s="182" t="s">
        <v>8</v>
      </c>
      <c r="C89" s="184"/>
      <c r="D89" s="159" t="s">
        <v>9</v>
      </c>
      <c r="E89" s="159" t="s">
        <v>9</v>
      </c>
      <c r="F89" s="159" t="s">
        <v>9</v>
      </c>
      <c r="G89" s="68"/>
      <c r="H89" s="68"/>
      <c r="I89" s="68"/>
      <c r="J89" s="68"/>
    </row>
    <row r="90" spans="1:10" ht="47.25" customHeight="1" x14ac:dyDescent="0.25">
      <c r="A90" s="183"/>
      <c r="B90" s="182"/>
      <c r="C90" s="184"/>
      <c r="D90" s="92" t="s">
        <v>199</v>
      </c>
      <c r="E90" s="92" t="s">
        <v>196</v>
      </c>
      <c r="F90" s="92" t="s">
        <v>202</v>
      </c>
      <c r="G90" s="68"/>
      <c r="H90" s="68"/>
      <c r="I90" s="68"/>
      <c r="J90" s="68"/>
    </row>
    <row r="91" spans="1:10" x14ac:dyDescent="0.25">
      <c r="A91" s="184" t="s">
        <v>10</v>
      </c>
      <c r="B91" s="184" t="s">
        <v>21</v>
      </c>
      <c r="C91" s="184"/>
      <c r="D91" s="195">
        <v>130000000</v>
      </c>
      <c r="E91" s="195">
        <v>140000000</v>
      </c>
      <c r="F91" s="195">
        <v>250000000</v>
      </c>
      <c r="G91" s="68"/>
      <c r="H91" s="68"/>
      <c r="I91" s="68"/>
      <c r="J91" s="68"/>
    </row>
    <row r="92" spans="1:10" x14ac:dyDescent="0.25">
      <c r="A92" s="184"/>
      <c r="B92" s="184"/>
      <c r="C92" s="184"/>
      <c r="D92" s="195"/>
      <c r="E92" s="195"/>
      <c r="F92" s="195"/>
      <c r="G92" s="68"/>
      <c r="H92" s="68"/>
      <c r="I92" s="68"/>
      <c r="J92" s="68"/>
    </row>
    <row r="93" spans="1:10" x14ac:dyDescent="0.25">
      <c r="A93" s="182">
        <v>1</v>
      </c>
      <c r="B93" s="182" t="s">
        <v>22</v>
      </c>
      <c r="C93" s="184"/>
      <c r="D93" s="162">
        <f>+D91*0.9</f>
        <v>117000000</v>
      </c>
      <c r="E93" s="162">
        <f>+E91*0.9</f>
        <v>126000000</v>
      </c>
      <c r="F93" s="162">
        <f>+F91*0.9</f>
        <v>225000000</v>
      </c>
      <c r="G93" s="68"/>
      <c r="H93" s="68"/>
      <c r="I93" s="68"/>
      <c r="J93" s="68"/>
    </row>
    <row r="94" spans="1:10" x14ac:dyDescent="0.25">
      <c r="A94" s="182"/>
      <c r="B94" s="182"/>
      <c r="C94" s="184"/>
      <c r="D94" s="158"/>
      <c r="E94" s="158"/>
      <c r="F94" s="158"/>
      <c r="G94" s="68"/>
      <c r="H94" s="68"/>
      <c r="I94" s="68"/>
      <c r="J94" s="68"/>
    </row>
    <row r="95" spans="1:10" x14ac:dyDescent="0.25">
      <c r="A95" s="182">
        <v>2</v>
      </c>
      <c r="B95" s="182" t="s">
        <v>23</v>
      </c>
      <c r="C95" s="184"/>
      <c r="D95" s="162">
        <v>0</v>
      </c>
      <c r="E95" s="162">
        <f>0</f>
        <v>0</v>
      </c>
      <c r="F95" s="162">
        <v>0</v>
      </c>
      <c r="G95" s="68"/>
      <c r="H95" s="68"/>
      <c r="I95" s="68"/>
      <c r="J95" s="68"/>
    </row>
    <row r="96" spans="1:10" x14ac:dyDescent="0.25">
      <c r="A96" s="182"/>
      <c r="B96" s="182"/>
      <c r="C96" s="184"/>
      <c r="D96" s="158"/>
      <c r="E96" s="158"/>
      <c r="F96" s="158" t="s">
        <v>40</v>
      </c>
      <c r="G96" s="68"/>
      <c r="H96" s="68"/>
      <c r="I96" s="68"/>
      <c r="J96" s="68"/>
    </row>
    <row r="97" spans="1:11" ht="16.350000000000001" customHeight="1" x14ac:dyDescent="0.25">
      <c r="A97" s="93">
        <v>3</v>
      </c>
      <c r="B97" s="93" t="s">
        <v>24</v>
      </c>
      <c r="C97" s="159"/>
      <c r="D97" s="136">
        <f>D93-D95</f>
        <v>117000000</v>
      </c>
      <c r="E97" s="136">
        <f>E93-E95</f>
        <v>126000000</v>
      </c>
      <c r="F97" s="136">
        <f>+F93-F95</f>
        <v>225000000</v>
      </c>
      <c r="G97" s="68"/>
      <c r="H97" s="68"/>
      <c r="I97" s="68"/>
      <c r="J97" s="68"/>
    </row>
    <row r="98" spans="1:11" ht="16.350000000000001" customHeight="1" x14ac:dyDescent="0.25">
      <c r="A98" s="93">
        <v>4</v>
      </c>
      <c r="B98" s="93" t="s">
        <v>176</v>
      </c>
      <c r="C98" s="159">
        <v>221.2</v>
      </c>
      <c r="D98" s="159">
        <v>190</v>
      </c>
      <c r="E98" s="159">
        <v>195</v>
      </c>
      <c r="F98" s="159">
        <v>320</v>
      </c>
      <c r="G98" s="68"/>
      <c r="H98" s="68"/>
      <c r="I98" s="68"/>
      <c r="J98" s="68"/>
    </row>
    <row r="99" spans="1:11" ht="16.350000000000001" customHeight="1" x14ac:dyDescent="0.25">
      <c r="A99" s="91" t="s">
        <v>11</v>
      </c>
      <c r="B99" s="91" t="s">
        <v>177</v>
      </c>
      <c r="C99" s="159"/>
      <c r="D99" s="132">
        <f>+D97/D98</f>
        <v>615789.47368421056</v>
      </c>
      <c r="E99" s="132">
        <f>+E97/E98</f>
        <v>646153.84615384613</v>
      </c>
      <c r="F99" s="132">
        <f>+F97/F98</f>
        <v>703125</v>
      </c>
      <c r="G99" s="68"/>
      <c r="H99" s="68"/>
      <c r="I99" s="68"/>
      <c r="J99" s="68"/>
    </row>
    <row r="100" spans="1:11" ht="16.350000000000001" customHeight="1" x14ac:dyDescent="0.25">
      <c r="A100" s="91" t="s">
        <v>12</v>
      </c>
      <c r="B100" s="91" t="s">
        <v>13</v>
      </c>
      <c r="C100" s="159"/>
      <c r="D100" s="159"/>
      <c r="E100" s="159"/>
      <c r="F100" s="159"/>
      <c r="G100" s="68"/>
      <c r="H100" s="68"/>
      <c r="I100" s="68"/>
      <c r="J100" s="68"/>
    </row>
    <row r="101" spans="1:11" ht="69" x14ac:dyDescent="0.25">
      <c r="A101" s="91">
        <v>1</v>
      </c>
      <c r="B101" s="91" t="s">
        <v>178</v>
      </c>
      <c r="C101" s="159">
        <f>C98</f>
        <v>221.2</v>
      </c>
      <c r="D101" s="159">
        <f>D98</f>
        <v>190</v>
      </c>
      <c r="E101" s="159">
        <f>E98</f>
        <v>195</v>
      </c>
      <c r="F101" s="159">
        <f>F98</f>
        <v>320</v>
      </c>
      <c r="G101" s="68"/>
      <c r="H101" s="68"/>
      <c r="I101" s="68"/>
      <c r="J101" s="68"/>
    </row>
    <row r="102" spans="1:11" x14ac:dyDescent="0.25">
      <c r="A102" s="91"/>
      <c r="B102" s="93" t="s">
        <v>14</v>
      </c>
      <c r="C102" s="159"/>
      <c r="D102" s="137">
        <v>-0.02</v>
      </c>
      <c r="E102" s="137">
        <v>-0.02</v>
      </c>
      <c r="F102" s="137">
        <v>0.02</v>
      </c>
      <c r="G102" s="68"/>
      <c r="H102" s="68"/>
      <c r="I102" s="68"/>
      <c r="J102" s="68"/>
    </row>
    <row r="103" spans="1:11" ht="66" x14ac:dyDescent="0.25">
      <c r="A103" s="91">
        <v>2</v>
      </c>
      <c r="B103" s="91" t="s">
        <v>179</v>
      </c>
      <c r="C103" s="159" t="s">
        <v>0</v>
      </c>
      <c r="D103" s="159" t="s">
        <v>0</v>
      </c>
      <c r="E103" s="159" t="s">
        <v>0</v>
      </c>
      <c r="F103" s="159" t="s">
        <v>0</v>
      </c>
      <c r="G103" s="68"/>
      <c r="H103" s="68"/>
      <c r="I103" s="68"/>
      <c r="J103" s="68"/>
    </row>
    <row r="104" spans="1:11" x14ac:dyDescent="0.25">
      <c r="A104" s="91"/>
      <c r="B104" s="93" t="s">
        <v>14</v>
      </c>
      <c r="C104" s="159"/>
      <c r="D104" s="137">
        <v>0</v>
      </c>
      <c r="E104" s="137">
        <v>0</v>
      </c>
      <c r="F104" s="137">
        <v>0</v>
      </c>
      <c r="G104" s="68"/>
      <c r="H104" s="68"/>
      <c r="I104" s="68"/>
      <c r="J104" s="68"/>
    </row>
    <row r="105" spans="1:11" ht="33" x14ac:dyDescent="0.25">
      <c r="A105" s="91">
        <v>3</v>
      </c>
      <c r="B105" s="91" t="s">
        <v>180</v>
      </c>
      <c r="C105" s="159" t="s">
        <v>130</v>
      </c>
      <c r="D105" s="159" t="s">
        <v>130</v>
      </c>
      <c r="E105" s="159" t="s">
        <v>130</v>
      </c>
      <c r="F105" s="159" t="s">
        <v>130</v>
      </c>
      <c r="G105" s="68"/>
      <c r="H105" s="68"/>
      <c r="I105" s="68"/>
      <c r="J105" s="68"/>
    </row>
    <row r="106" spans="1:11" x14ac:dyDescent="0.25">
      <c r="A106" s="91"/>
      <c r="B106" s="93" t="s">
        <v>14</v>
      </c>
      <c r="C106" s="159"/>
      <c r="D106" s="137">
        <v>0</v>
      </c>
      <c r="E106" s="137">
        <v>0</v>
      </c>
      <c r="F106" s="137">
        <v>0</v>
      </c>
      <c r="G106" s="68"/>
      <c r="H106" s="68"/>
      <c r="I106" s="68"/>
      <c r="J106" s="68"/>
      <c r="K106" s="68"/>
    </row>
    <row r="107" spans="1:11" x14ac:dyDescent="0.25">
      <c r="A107" s="91">
        <v>4</v>
      </c>
      <c r="B107" s="91" t="s">
        <v>111</v>
      </c>
      <c r="C107" s="94">
        <v>5</v>
      </c>
      <c r="D107" s="159">
        <v>5</v>
      </c>
      <c r="E107" s="159">
        <v>5</v>
      </c>
      <c r="F107" s="159">
        <v>10</v>
      </c>
      <c r="G107" s="95">
        <f>C107/C101</f>
        <v>2.2603978300180832E-2</v>
      </c>
      <c r="H107" s="95">
        <f>D107/D101</f>
        <v>2.6315789473684209E-2</v>
      </c>
      <c r="I107" s="95">
        <f>E107/E101</f>
        <v>2.564102564102564E-2</v>
      </c>
      <c r="J107" s="95">
        <f>F107/F101</f>
        <v>3.125E-2</v>
      </c>
      <c r="K107" s="68"/>
    </row>
    <row r="108" spans="1:11" x14ac:dyDescent="0.25">
      <c r="A108" s="91"/>
      <c r="B108" s="93" t="s">
        <v>14</v>
      </c>
      <c r="C108" s="159"/>
      <c r="D108" s="137">
        <v>0</v>
      </c>
      <c r="E108" s="137">
        <v>0</v>
      </c>
      <c r="F108" s="137">
        <v>-0.03</v>
      </c>
      <c r="G108" s="68"/>
      <c r="H108" s="68"/>
      <c r="I108" s="68"/>
      <c r="J108" s="68"/>
      <c r="K108" s="68"/>
    </row>
    <row r="109" spans="1:11" x14ac:dyDescent="0.25">
      <c r="A109" s="107">
        <v>5</v>
      </c>
      <c r="B109" s="123" t="s">
        <v>188</v>
      </c>
      <c r="C109" s="124" t="s">
        <v>211</v>
      </c>
      <c r="D109" s="138">
        <v>38</v>
      </c>
      <c r="E109" s="138">
        <v>39</v>
      </c>
      <c r="F109" s="138">
        <v>32</v>
      </c>
      <c r="G109" s="68"/>
      <c r="H109" s="68"/>
      <c r="I109" s="68"/>
      <c r="J109" s="68"/>
      <c r="K109" s="68"/>
    </row>
    <row r="110" spans="1:11" x14ac:dyDescent="0.25">
      <c r="A110" s="107"/>
      <c r="B110" s="125" t="s">
        <v>14</v>
      </c>
      <c r="C110" s="124"/>
      <c r="D110" s="139">
        <v>0</v>
      </c>
      <c r="E110" s="139">
        <v>0</v>
      </c>
      <c r="F110" s="139">
        <v>0</v>
      </c>
      <c r="G110" s="68"/>
      <c r="H110" s="68"/>
      <c r="I110" s="68"/>
      <c r="J110" s="68"/>
      <c r="K110" s="68"/>
    </row>
    <row r="111" spans="1:11" ht="66" x14ac:dyDescent="0.25">
      <c r="A111" s="91">
        <v>6</v>
      </c>
      <c r="B111" s="91" t="s">
        <v>15</v>
      </c>
      <c r="C111" s="122" t="s">
        <v>198</v>
      </c>
      <c r="D111" s="122" t="s">
        <v>200</v>
      </c>
      <c r="E111" s="122" t="s">
        <v>200</v>
      </c>
      <c r="F111" s="122" t="s">
        <v>203</v>
      </c>
      <c r="G111" s="68"/>
      <c r="H111" s="68"/>
      <c r="I111" s="68"/>
      <c r="J111" s="68"/>
    </row>
    <row r="112" spans="1:11" x14ac:dyDescent="0.25">
      <c r="A112" s="91"/>
      <c r="B112" s="93" t="s">
        <v>14</v>
      </c>
      <c r="C112" s="159"/>
      <c r="D112" s="137">
        <v>0</v>
      </c>
      <c r="E112" s="137">
        <v>0</v>
      </c>
      <c r="F112" s="137">
        <v>0</v>
      </c>
      <c r="G112" s="68"/>
      <c r="H112" s="68"/>
      <c r="I112" s="68"/>
      <c r="J112" s="68"/>
    </row>
    <row r="113" spans="1:11" ht="82.5" x14ac:dyDescent="0.25">
      <c r="A113" s="91">
        <v>7</v>
      </c>
      <c r="B113" s="91" t="s">
        <v>181</v>
      </c>
      <c r="C113" s="92" t="s">
        <v>193</v>
      </c>
      <c r="D113" s="92" t="s">
        <v>193</v>
      </c>
      <c r="E113" s="92" t="s">
        <v>197</v>
      </c>
      <c r="F113" s="92" t="s">
        <v>193</v>
      </c>
      <c r="G113" s="68"/>
      <c r="H113" s="68"/>
      <c r="I113" s="68"/>
      <c r="J113" s="68"/>
    </row>
    <row r="114" spans="1:11" x14ac:dyDescent="0.25">
      <c r="A114" s="91"/>
      <c r="B114" s="93" t="s">
        <v>14</v>
      </c>
      <c r="C114" s="159"/>
      <c r="D114" s="137">
        <v>0</v>
      </c>
      <c r="E114" s="137">
        <v>0</v>
      </c>
      <c r="F114" s="137">
        <v>0</v>
      </c>
      <c r="G114" s="68"/>
      <c r="H114" s="68"/>
      <c r="I114" s="68"/>
      <c r="J114" s="68"/>
    </row>
    <row r="115" spans="1:11" ht="66" x14ac:dyDescent="0.25">
      <c r="A115" s="91">
        <v>8</v>
      </c>
      <c r="B115" s="91" t="s">
        <v>182</v>
      </c>
      <c r="C115" s="159" t="s">
        <v>129</v>
      </c>
      <c r="D115" s="159" t="s">
        <v>129</v>
      </c>
      <c r="E115" s="159" t="s">
        <v>129</v>
      </c>
      <c r="F115" s="159" t="s">
        <v>129</v>
      </c>
      <c r="G115" s="68"/>
      <c r="H115" s="68"/>
      <c r="I115" s="68"/>
      <c r="J115" s="68"/>
    </row>
    <row r="116" spans="1:11" x14ac:dyDescent="0.25">
      <c r="A116" s="91"/>
      <c r="B116" s="93" t="s">
        <v>14</v>
      </c>
      <c r="C116" s="159"/>
      <c r="D116" s="137">
        <v>0</v>
      </c>
      <c r="E116" s="137">
        <v>0</v>
      </c>
      <c r="F116" s="137">
        <v>0</v>
      </c>
      <c r="G116" s="68"/>
      <c r="H116" s="68"/>
      <c r="I116" s="68"/>
      <c r="J116" s="68"/>
    </row>
    <row r="117" spans="1:11" ht="99" x14ac:dyDescent="0.25">
      <c r="A117" s="91">
        <v>9</v>
      </c>
      <c r="B117" s="91" t="s">
        <v>183</v>
      </c>
      <c r="C117" s="159" t="s">
        <v>195</v>
      </c>
      <c r="D117" s="159" t="s">
        <v>195</v>
      </c>
      <c r="E117" s="159" t="s">
        <v>195</v>
      </c>
      <c r="F117" s="159" t="s">
        <v>195</v>
      </c>
      <c r="G117" s="68"/>
      <c r="H117" s="68"/>
      <c r="I117" s="68"/>
      <c r="J117" s="68" t="s">
        <v>40</v>
      </c>
    </row>
    <row r="118" spans="1:11" x14ac:dyDescent="0.25">
      <c r="A118" s="91"/>
      <c r="B118" s="93" t="s">
        <v>14</v>
      </c>
      <c r="C118" s="159"/>
      <c r="D118" s="137">
        <v>0</v>
      </c>
      <c r="E118" s="137">
        <v>0</v>
      </c>
      <c r="F118" s="137">
        <v>0</v>
      </c>
      <c r="G118" s="68"/>
      <c r="H118" s="68"/>
      <c r="I118" s="68"/>
      <c r="J118" s="68"/>
    </row>
    <row r="119" spans="1:11" x14ac:dyDescent="0.25">
      <c r="A119" s="91">
        <v>10</v>
      </c>
      <c r="B119" s="91" t="s">
        <v>16</v>
      </c>
      <c r="C119" s="159"/>
      <c r="D119" s="159"/>
      <c r="E119" s="159"/>
      <c r="F119" s="159"/>
      <c r="G119" s="68"/>
      <c r="H119" s="96"/>
      <c r="I119" s="68"/>
      <c r="J119" s="68"/>
    </row>
    <row r="120" spans="1:11" x14ac:dyDescent="0.25">
      <c r="A120" s="91"/>
      <c r="B120" s="93" t="s">
        <v>14</v>
      </c>
      <c r="C120" s="159"/>
      <c r="D120" s="137"/>
      <c r="E120" s="137"/>
      <c r="F120" s="137"/>
      <c r="G120" s="68"/>
      <c r="H120" s="96"/>
      <c r="I120" s="68"/>
      <c r="J120" s="68"/>
    </row>
    <row r="121" spans="1:11" x14ac:dyDescent="0.25">
      <c r="A121" s="91" t="s">
        <v>17</v>
      </c>
      <c r="B121" s="91" t="s">
        <v>18</v>
      </c>
      <c r="C121" s="159"/>
      <c r="D121" s="140">
        <f>+D102+D104+D106+D108+D112+D114+D116+D118+D120+D110</f>
        <v>-0.02</v>
      </c>
      <c r="E121" s="140">
        <f>+E102+E104+E106+E108+E112+E114+E116+E118+E120+E110</f>
        <v>-0.02</v>
      </c>
      <c r="F121" s="140">
        <f>+F102+F104+F106+F108+F112+F114+F116+F118+F120+F110</f>
        <v>-9.9999999999999985E-3</v>
      </c>
      <c r="G121" s="96"/>
      <c r="H121" s="96"/>
      <c r="I121" s="74"/>
      <c r="J121" s="68"/>
      <c r="K121" s="18" t="s">
        <v>205</v>
      </c>
    </row>
    <row r="122" spans="1:11" ht="30" customHeight="1" x14ac:dyDescent="0.25">
      <c r="A122" s="91" t="s">
        <v>19</v>
      </c>
      <c r="B122" s="91" t="s">
        <v>25</v>
      </c>
      <c r="C122" s="159"/>
      <c r="D122" s="132">
        <f>+D99*(1+D121)</f>
        <v>603473.68421052629</v>
      </c>
      <c r="E122" s="132">
        <f>+E99*(1+E121)</f>
        <v>633230.76923076925</v>
      </c>
      <c r="F122" s="132">
        <f>+F99*(1+F121)</f>
        <v>696093.75</v>
      </c>
      <c r="G122" s="96">
        <f>F122/E122</f>
        <v>1.0992734147230321</v>
      </c>
      <c r="H122" s="96"/>
      <c r="I122" s="68"/>
      <c r="J122" s="68"/>
    </row>
    <row r="123" spans="1:11" ht="33" x14ac:dyDescent="0.25">
      <c r="A123" s="88" t="s">
        <v>20</v>
      </c>
      <c r="B123" s="88" t="s">
        <v>109</v>
      </c>
      <c r="C123" s="97">
        <f>AVERAGE(D122:F122)</f>
        <v>644266.06781376514</v>
      </c>
      <c r="D123" s="141"/>
      <c r="E123" s="159"/>
      <c r="F123" s="159"/>
      <c r="G123" s="68"/>
      <c r="H123" s="96"/>
      <c r="I123" s="68"/>
      <c r="J123" s="68"/>
    </row>
    <row r="124" spans="1:11" ht="30" customHeight="1" x14ac:dyDescent="0.25">
      <c r="A124" s="88" t="s">
        <v>29</v>
      </c>
      <c r="B124" s="88" t="s">
        <v>109</v>
      </c>
      <c r="C124" s="97">
        <f>ROUNDDOWN(C123,-3)</f>
        <v>644000</v>
      </c>
      <c r="D124" s="97"/>
      <c r="E124" s="97"/>
      <c r="F124" s="97"/>
      <c r="G124" s="68"/>
      <c r="H124" s="68"/>
      <c r="I124" s="68"/>
      <c r="J124" s="68"/>
    </row>
    <row r="125" spans="1:11" ht="30" customHeight="1" x14ac:dyDescent="0.25">
      <c r="A125" s="88" t="s">
        <v>169</v>
      </c>
      <c r="B125" s="88" t="s">
        <v>110</v>
      </c>
      <c r="C125" s="97">
        <v>500000</v>
      </c>
      <c r="D125" s="97"/>
      <c r="E125" s="97"/>
      <c r="F125" s="97"/>
      <c r="G125" s="68"/>
      <c r="H125" s="68"/>
      <c r="I125" s="68"/>
      <c r="J125" s="68"/>
    </row>
    <row r="126" spans="1:11" x14ac:dyDescent="0.25">
      <c r="C126" s="68" t="s">
        <v>187</v>
      </c>
      <c r="H126" s="68"/>
      <c r="I126" s="68"/>
      <c r="J126" s="68"/>
    </row>
    <row r="127" spans="1:11" x14ac:dyDescent="0.25">
      <c r="A127" s="98" t="s">
        <v>63</v>
      </c>
      <c r="H127" s="68"/>
      <c r="I127" s="68"/>
      <c r="J127" s="68"/>
    </row>
    <row r="128" spans="1:11" ht="34.5" customHeight="1" x14ac:dyDescent="0.25">
      <c r="A128" s="99" t="s">
        <v>64</v>
      </c>
      <c r="B128" s="99" t="s">
        <v>65</v>
      </c>
      <c r="C128" s="161" t="s">
        <v>184</v>
      </c>
      <c r="D128" s="161" t="s">
        <v>66</v>
      </c>
      <c r="E128" s="161" t="s">
        <v>67</v>
      </c>
      <c r="F128" s="161" t="s">
        <v>68</v>
      </c>
      <c r="H128" s="68"/>
      <c r="I128" s="68"/>
      <c r="J128" s="68"/>
    </row>
    <row r="129" spans="1:7" x14ac:dyDescent="0.25">
      <c r="A129" s="100"/>
      <c r="B129" s="101"/>
      <c r="C129" s="110" t="s">
        <v>70</v>
      </c>
      <c r="D129" s="110" t="s">
        <v>71</v>
      </c>
      <c r="E129" s="110" t="s">
        <v>72</v>
      </c>
      <c r="F129" s="158" t="s">
        <v>69</v>
      </c>
    </row>
    <row r="130" spans="1:7" ht="38.25" customHeight="1" x14ac:dyDescent="0.25">
      <c r="A130" s="100">
        <v>1</v>
      </c>
      <c r="B130" s="100" t="s">
        <v>159</v>
      </c>
      <c r="C130" s="119">
        <v>0</v>
      </c>
      <c r="D130" s="142">
        <v>0</v>
      </c>
      <c r="E130" s="156">
        <v>0</v>
      </c>
      <c r="F130" s="157">
        <f>C130*D130*E130</f>
        <v>0</v>
      </c>
      <c r="G130" s="73"/>
    </row>
    <row r="131" spans="1:7" ht="32.25" customHeight="1" x14ac:dyDescent="0.25">
      <c r="A131" s="208" t="s">
        <v>118</v>
      </c>
      <c r="B131" s="209"/>
      <c r="C131" s="120">
        <f>ROUNDDOWN(F130,-6)</f>
        <v>0</v>
      </c>
      <c r="D131" s="143" t="s">
        <v>59</v>
      </c>
      <c r="E131" s="143"/>
      <c r="F131" s="160"/>
      <c r="G131" s="78"/>
    </row>
    <row r="132" spans="1:7" ht="15.95" hidden="1" customHeight="1" x14ac:dyDescent="0.25">
      <c r="A132" s="102"/>
      <c r="B132" s="102"/>
      <c r="C132" s="121"/>
      <c r="D132" s="144"/>
      <c r="E132" s="144"/>
      <c r="F132" s="144"/>
    </row>
    <row r="133" spans="1:7" hidden="1" x14ac:dyDescent="0.25">
      <c r="A133" s="98" t="s">
        <v>73</v>
      </c>
    </row>
    <row r="134" spans="1:7" s="68" customFormat="1" ht="32.25" hidden="1" customHeight="1" x14ac:dyDescent="0.25">
      <c r="A134" s="175" t="s">
        <v>185</v>
      </c>
      <c r="B134" s="175"/>
      <c r="C134" s="175"/>
      <c r="D134" s="175"/>
      <c r="E134" s="175"/>
      <c r="F134" s="175"/>
    </row>
    <row r="135" spans="1:7" s="68" customFormat="1" ht="15.75" hidden="1" customHeight="1" x14ac:dyDescent="0.25">
      <c r="A135" s="177" t="s">
        <v>186</v>
      </c>
      <c r="B135" s="175"/>
      <c r="C135" s="175"/>
      <c r="D135" s="175"/>
      <c r="E135" s="175"/>
      <c r="F135" s="175"/>
    </row>
    <row r="136" spans="1:7" ht="31.5" hidden="1" customHeight="1" x14ac:dyDescent="0.25">
      <c r="A136" s="176" t="s">
        <v>116</v>
      </c>
      <c r="B136" s="176"/>
      <c r="C136" s="176"/>
      <c r="D136" s="176"/>
      <c r="E136" s="176"/>
      <c r="F136" s="176"/>
    </row>
    <row r="137" spans="1:7" ht="15.95" hidden="1" customHeight="1" x14ac:dyDescent="0.25">
      <c r="A137" s="176" t="s">
        <v>74</v>
      </c>
      <c r="B137" s="176"/>
      <c r="C137" s="176"/>
      <c r="D137" s="176"/>
      <c r="E137" s="176"/>
      <c r="F137" s="176"/>
    </row>
    <row r="138" spans="1:7" hidden="1" x14ac:dyDescent="0.25"/>
    <row r="139" spans="1:7" hidden="1" x14ac:dyDescent="0.25">
      <c r="A139" s="98" t="s">
        <v>75</v>
      </c>
    </row>
    <row r="140" spans="1:7" s="46" customFormat="1" hidden="1" x14ac:dyDescent="0.25">
      <c r="A140" s="103" t="s">
        <v>164</v>
      </c>
      <c r="C140" s="111"/>
      <c r="D140" s="111"/>
      <c r="E140" s="111"/>
      <c r="F140" s="111"/>
    </row>
    <row r="141" spans="1:7" ht="377.25" hidden="1" customHeight="1" x14ac:dyDescent="0.25">
      <c r="A141" s="180"/>
      <c r="B141" s="180"/>
      <c r="C141" s="180"/>
      <c r="D141" s="180"/>
      <c r="E141" s="180"/>
      <c r="F141" s="180"/>
    </row>
    <row r="142" spans="1:7" ht="23.25" customHeight="1" x14ac:dyDescent="0.25">
      <c r="A142" s="104" t="s">
        <v>108</v>
      </c>
    </row>
    <row r="143" spans="1:7" ht="280.5" hidden="1" customHeight="1" x14ac:dyDescent="0.25">
      <c r="A143" s="179"/>
      <c r="B143" s="179"/>
      <c r="C143" s="179"/>
      <c r="D143" s="179"/>
      <c r="E143" s="179"/>
      <c r="F143" s="179"/>
    </row>
    <row r="144" spans="1:7" ht="280.5" hidden="1" customHeight="1" x14ac:dyDescent="0.25">
      <c r="A144" s="179"/>
      <c r="B144" s="179"/>
      <c r="C144" s="179"/>
      <c r="D144" s="179"/>
      <c r="E144" s="179"/>
      <c r="F144" s="179"/>
    </row>
    <row r="145" spans="1:11" ht="280.5" hidden="1" customHeight="1" x14ac:dyDescent="0.25">
      <c r="A145" s="179"/>
      <c r="B145" s="179"/>
      <c r="C145" s="179"/>
      <c r="D145" s="179"/>
      <c r="E145" s="179"/>
      <c r="F145" s="179"/>
    </row>
    <row r="146" spans="1:11" ht="408.75" hidden="1" customHeight="1" x14ac:dyDescent="0.25">
      <c r="A146" s="179"/>
      <c r="B146" s="179"/>
      <c r="C146" s="179"/>
      <c r="D146" s="179"/>
      <c r="E146" s="179"/>
      <c r="F146" s="179"/>
    </row>
    <row r="147" spans="1:11" s="82" customFormat="1" ht="35.25" hidden="1" customHeight="1" x14ac:dyDescent="0.25">
      <c r="A147" s="105" t="s">
        <v>76</v>
      </c>
      <c r="C147" s="81"/>
      <c r="D147" s="81"/>
      <c r="E147" s="81"/>
      <c r="F147" s="81"/>
    </row>
    <row r="148" spans="1:11" s="82" customFormat="1" ht="385.5" hidden="1" customHeight="1" x14ac:dyDescent="0.25">
      <c r="A148" s="207"/>
      <c r="B148" s="207"/>
      <c r="C148" s="207"/>
      <c r="D148" s="207"/>
      <c r="E148" s="207"/>
      <c r="F148" s="207"/>
    </row>
    <row r="149" spans="1:11" ht="385.5" hidden="1" customHeight="1" x14ac:dyDescent="0.25">
      <c r="A149" s="179"/>
      <c r="B149" s="179"/>
      <c r="C149" s="179"/>
      <c r="D149" s="179"/>
      <c r="E149" s="179"/>
      <c r="F149" s="179"/>
    </row>
    <row r="150" spans="1:11" s="82" customFormat="1" ht="42" hidden="1" customHeight="1" x14ac:dyDescent="0.25">
      <c r="A150" s="105" t="s">
        <v>77</v>
      </c>
      <c r="C150" s="81"/>
      <c r="D150" s="81"/>
      <c r="E150" s="81"/>
      <c r="F150" s="81"/>
    </row>
    <row r="151" spans="1:11" ht="409.5" hidden="1" customHeight="1" x14ac:dyDescent="0.25">
      <c r="A151" s="179"/>
      <c r="B151" s="179"/>
      <c r="C151" s="179"/>
      <c r="D151" s="179"/>
      <c r="E151" s="179"/>
      <c r="F151" s="179"/>
      <c r="I151" s="18" t="s">
        <v>40</v>
      </c>
      <c r="K151" s="18" t="s">
        <v>40</v>
      </c>
    </row>
    <row r="152" spans="1:11" ht="409.5" hidden="1" customHeight="1" x14ac:dyDescent="0.25">
      <c r="A152" s="106"/>
      <c r="B152" s="179"/>
      <c r="C152" s="179"/>
      <c r="D152" s="179"/>
      <c r="E152" s="179"/>
      <c r="F152" s="179"/>
    </row>
    <row r="153" spans="1:11" s="82" customFormat="1" ht="32.25" hidden="1" customHeight="1" x14ac:dyDescent="0.25">
      <c r="A153" s="178" t="s">
        <v>78</v>
      </c>
      <c r="B153" s="178"/>
      <c r="C153" s="178"/>
      <c r="D153" s="178"/>
      <c r="E153" s="178"/>
      <c r="F153" s="81"/>
    </row>
    <row r="154" spans="1:11" ht="409.5" hidden="1" customHeight="1" x14ac:dyDescent="0.25">
      <c r="A154" s="180"/>
      <c r="B154" s="180"/>
      <c r="C154" s="180"/>
      <c r="D154" s="180"/>
      <c r="E154" s="180"/>
      <c r="F154" s="180"/>
    </row>
    <row r="155" spans="1:11" ht="409.5" hidden="1" customHeight="1" x14ac:dyDescent="0.25">
      <c r="A155" s="180"/>
      <c r="B155" s="180"/>
      <c r="C155" s="180"/>
      <c r="D155" s="180"/>
      <c r="E155" s="180"/>
      <c r="F155" s="180"/>
    </row>
    <row r="159" spans="1:11" x14ac:dyDescent="0.25">
      <c r="A159" s="82"/>
      <c r="B159" s="82" t="s">
        <v>79</v>
      </c>
    </row>
    <row r="160" spans="1:11" x14ac:dyDescent="0.25">
      <c r="E160" s="174" t="s">
        <v>194</v>
      </c>
      <c r="F160" s="174"/>
    </row>
    <row r="161" spans="1:6" x14ac:dyDescent="0.25">
      <c r="B161" s="98" t="s">
        <v>80</v>
      </c>
      <c r="D161" s="86" t="s">
        <v>82</v>
      </c>
      <c r="E161" s="173" t="s">
        <v>81</v>
      </c>
      <c r="F161" s="173"/>
    </row>
    <row r="164" spans="1:6" x14ac:dyDescent="0.25">
      <c r="A164" s="82"/>
      <c r="B164" s="82"/>
    </row>
    <row r="165" spans="1:6" x14ac:dyDescent="0.25">
      <c r="E165" s="174"/>
      <c r="F165" s="174"/>
    </row>
    <row r="166" spans="1:6" x14ac:dyDescent="0.25">
      <c r="B166" s="98"/>
      <c r="D166" s="86"/>
      <c r="E166" s="173"/>
      <c r="F166" s="173"/>
    </row>
  </sheetData>
  <mergeCells count="66">
    <mergeCell ref="B75:C75"/>
    <mergeCell ref="B76:C76"/>
    <mergeCell ref="A148:F148"/>
    <mergeCell ref="B152:F152"/>
    <mergeCell ref="A155:F155"/>
    <mergeCell ref="D91:D92"/>
    <mergeCell ref="A131:B131"/>
    <mergeCell ref="A145:F145"/>
    <mergeCell ref="A144:F144"/>
    <mergeCell ref="C93:C94"/>
    <mergeCell ref="A4:F4"/>
    <mergeCell ref="A5:F5"/>
    <mergeCell ref="A6:F6"/>
    <mergeCell ref="A12:F12"/>
    <mergeCell ref="A23:F23"/>
    <mergeCell ref="D14:F14"/>
    <mergeCell ref="C21:F21"/>
    <mergeCell ref="A22:F22"/>
    <mergeCell ref="B72:C72"/>
    <mergeCell ref="B91:B92"/>
    <mergeCell ref="A63:F63"/>
    <mergeCell ref="A64:F64"/>
    <mergeCell ref="A65:F65"/>
    <mergeCell ref="A67:F67"/>
    <mergeCell ref="B70:C70"/>
    <mergeCell ref="C91:C92"/>
    <mergeCell ref="B77:C77"/>
    <mergeCell ref="B78:C78"/>
    <mergeCell ref="B79:C79"/>
    <mergeCell ref="F91:F92"/>
    <mergeCell ref="E91:E92"/>
    <mergeCell ref="B81:C81"/>
    <mergeCell ref="B82:C82"/>
    <mergeCell ref="B74:C74"/>
    <mergeCell ref="A25:F25"/>
    <mergeCell ref="A56:F56"/>
    <mergeCell ref="A95:A96"/>
    <mergeCell ref="B95:B96"/>
    <mergeCell ref="A93:A94"/>
    <mergeCell ref="A89:A90"/>
    <mergeCell ref="B89:B90"/>
    <mergeCell ref="C89:C90"/>
    <mergeCell ref="A91:A92"/>
    <mergeCell ref="B93:B94"/>
    <mergeCell ref="A54:F54"/>
    <mergeCell ref="A43:F43"/>
    <mergeCell ref="B71:C71"/>
    <mergeCell ref="B73:C73"/>
    <mergeCell ref="C95:C96"/>
    <mergeCell ref="B80:C80"/>
    <mergeCell ref="A30:B30"/>
    <mergeCell ref="E166:F166"/>
    <mergeCell ref="E165:F165"/>
    <mergeCell ref="A134:F134"/>
    <mergeCell ref="A136:F136"/>
    <mergeCell ref="A137:F137"/>
    <mergeCell ref="A135:F135"/>
    <mergeCell ref="A153:E153"/>
    <mergeCell ref="E160:F160"/>
    <mergeCell ref="E161:F161"/>
    <mergeCell ref="A149:F149"/>
    <mergeCell ref="A151:F151"/>
    <mergeCell ref="A141:F141"/>
    <mergeCell ref="A154:F154"/>
    <mergeCell ref="A143:F143"/>
    <mergeCell ref="A146:F146"/>
  </mergeCells>
  <printOptions horizontalCentered="1"/>
  <pageMargins left="0.7" right="0.45" top="0.75" bottom="0.75" header="0.3" footer="0.3"/>
  <pageSetup paperSize="9" scale="67" fitToWidth="0" fitToHeight="0" orientation="portrait" r:id="rId1"/>
  <headerFooter>
    <oddFooter>&amp;L
BM.02A/TĐTS&amp;CTrang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C30" sqref="C30"/>
    </sheetView>
  </sheetViews>
  <sheetFormatPr defaultColWidth="8.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De nghi tham dinh</vt:lpstr>
      <vt:lpstr>BC tham dinh</vt:lpstr>
      <vt:lpstr>Hinh anh TS</vt:lpstr>
      <vt:lpstr>'BC tham dinh'!Print_Area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2025-07-30T06:39:53Z</cp:lastPrinted>
  <dcterms:created xsi:type="dcterms:W3CDTF">2022-11-17T01:52:09Z</dcterms:created>
  <dcterms:modified xsi:type="dcterms:W3CDTF">2026-03-04T10:06:20Z</dcterms:modified>
</cp:coreProperties>
</file>